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DF0B9571E6B1A739/Documents/"/>
    </mc:Choice>
  </mc:AlternateContent>
  <xr:revisionPtr revIDLastSave="0" documentId="8_{09F5985E-9B3A-4FCC-B7BF-9152566797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DR_Data" sheetId="1" r:id="rId1"/>
    <sheet name="Pivot table" sheetId="2" r:id="rId2"/>
    <sheet name="Dashboard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" l="1"/>
  <c r="M9" i="1"/>
  <c r="M11" i="1"/>
</calcChain>
</file>

<file path=xl/sharedStrings.xml><?xml version="1.0" encoding="utf-8"?>
<sst xmlns="http://schemas.openxmlformats.org/spreadsheetml/2006/main" count="2192" uniqueCount="366">
  <si>
    <t>Patient_ID</t>
  </si>
  <si>
    <t>Age</t>
  </si>
  <si>
    <t>Gender</t>
  </si>
  <si>
    <t>Medication</t>
  </si>
  <si>
    <t>Start_Date</t>
  </si>
  <si>
    <t>Symptom</t>
  </si>
  <si>
    <t>Severity</t>
  </si>
  <si>
    <t>ADR_Reported</t>
  </si>
  <si>
    <t>Days_to_Reaction</t>
  </si>
  <si>
    <t>Outcome</t>
  </si>
  <si>
    <t>P001</t>
  </si>
  <si>
    <t>Male</t>
  </si>
  <si>
    <t>Ciprofloxacin</t>
  </si>
  <si>
    <t>Rash</t>
  </si>
  <si>
    <t>Moderate</t>
  </si>
  <si>
    <t>Yes</t>
  </si>
  <si>
    <t>Improving</t>
  </si>
  <si>
    <t>P002</t>
  </si>
  <si>
    <t>Amlodipine</t>
  </si>
  <si>
    <t>None</t>
  </si>
  <si>
    <t>No</t>
  </si>
  <si>
    <t>No reaction</t>
  </si>
  <si>
    <t>P003</t>
  </si>
  <si>
    <t>Ibuprofen</t>
  </si>
  <si>
    <t>P004</t>
  </si>
  <si>
    <t>Female</t>
  </si>
  <si>
    <t>P005</t>
  </si>
  <si>
    <t>Metformin</t>
  </si>
  <si>
    <t>P006</t>
  </si>
  <si>
    <t>Atorvastatin</t>
  </si>
  <si>
    <t>P007</t>
  </si>
  <si>
    <t>P008</t>
  </si>
  <si>
    <t>P009</t>
  </si>
  <si>
    <t>Paracetamol</t>
  </si>
  <si>
    <t>P010</t>
  </si>
  <si>
    <t>Amoxicillin</t>
  </si>
  <si>
    <t>Itching</t>
  </si>
  <si>
    <t>Mild</t>
  </si>
  <si>
    <t>P011</t>
  </si>
  <si>
    <t>Azithromycin</t>
  </si>
  <si>
    <t>P012</t>
  </si>
  <si>
    <t>Dizziness</t>
  </si>
  <si>
    <t>Referred</t>
  </si>
  <si>
    <t>P013</t>
  </si>
  <si>
    <t>P014</t>
  </si>
  <si>
    <t>Vomiting</t>
  </si>
  <si>
    <t>P015</t>
  </si>
  <si>
    <t>P016</t>
  </si>
  <si>
    <t>Recovered</t>
  </si>
  <si>
    <t>P017</t>
  </si>
  <si>
    <t>P018</t>
  </si>
  <si>
    <t>P019</t>
  </si>
  <si>
    <t>Headache</t>
  </si>
  <si>
    <t>P020</t>
  </si>
  <si>
    <t>P021</t>
  </si>
  <si>
    <t>P022</t>
  </si>
  <si>
    <t>Fatigue</t>
  </si>
  <si>
    <t>P023</t>
  </si>
  <si>
    <t>P024</t>
  </si>
  <si>
    <t>P025</t>
  </si>
  <si>
    <t>P026</t>
  </si>
  <si>
    <t>P027</t>
  </si>
  <si>
    <t>P028</t>
  </si>
  <si>
    <t>P029</t>
  </si>
  <si>
    <t>P030</t>
  </si>
  <si>
    <t>Diarrhea</t>
  </si>
  <si>
    <t>P031</t>
  </si>
  <si>
    <t>P032</t>
  </si>
  <si>
    <t>P033</t>
  </si>
  <si>
    <t>P034</t>
  </si>
  <si>
    <t>Severe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</si>
  <si>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</si>
  <si>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</si>
  <si>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</si>
  <si>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</si>
  <si>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</si>
  <si>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</si>
  <si>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</si>
  <si>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</si>
  <si>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</si>
  <si>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</si>
  <si>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</si>
  <si>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</si>
  <si>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</si>
  <si>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</si>
  <si>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</si>
  <si>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</si>
  <si>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Nausea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</si>
  <si>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</si>
  <si>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</si>
  <si>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</si>
  <si>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</si>
  <si>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</si>
  <si>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</si>
  <si>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</si>
  <si>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</si>
  <si>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</si>
  <si>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</si>
  <si>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</si>
  <si>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</si>
  <si>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</si>
  <si>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</si>
  <si>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</si>
  <si>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</si>
  <si>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</si>
  <si>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</si>
  <si>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</si>
  <si>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</si>
  <si>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</si>
  <si>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</si>
  <si>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</si>
  <si>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</si>
  <si>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</si>
  <si>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</si>
  <si>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</si>
  <si>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</si>
  <si>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</si>
  <si>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</si>
  <si>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</si>
  <si>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</si>
  <si>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</si>
  <si>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</si>
  <si>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</si>
  <si>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</si>
  <si>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</si>
  <si>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</si>
  <si>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</si>
  <si>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</si>
  <si>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</si>
  <si>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</si>
  <si>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</si>
  <si>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</si>
  <si>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</si>
  <si>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</si>
  <si>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</si>
  <si>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</si>
  <si>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</si>
  <si>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</si>
  <si>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</si>
  <si>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</si>
  <si>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</si>
  <si>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</si>
  <si>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</si>
  <si>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</si>
  <si>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</si>
  <si>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</si>
  <si>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</si>
  <si>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</si>
  <si>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</si>
  <si>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</si>
  <si>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</si>
  <si>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</si>
  <si>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</si>
  <si>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</si>
  <si>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</si>
  <si>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</si>
  <si>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</si>
  <si>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</si>
  <si>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</si>
  <si>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</si>
  <si>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</si>
  <si>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</si>
  <si>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</si>
  <si>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</si>
  <si>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</si>
  <si>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</si>
  <si>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</si>
  <si>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</si>
  <si>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</si>
  <si>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</si>
  <si>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</si>
  <si>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</si>
  <si>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</si>
  <si>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</si>
  <si>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</si>
  <si>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</si>
  <si>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</si>
  <si>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</si>
  <si>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</si>
  <si>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</si>
  <si>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</si>
  <si>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</si>
  <si>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</si>
  <si>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</si>
  <si>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</si>
  <si>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</si>
  <si>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</si>
  <si>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</si>
  <si>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</si>
  <si>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</si>
  <si>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</si>
  <si>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</si>
  <si>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</si>
  <si>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</si>
  <si>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</si>
  <si>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</si>
  <si>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</si>
  <si>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</si>
  <si>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</si>
  <si>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</si>
  <si>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</si>
  <si>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</si>
  <si>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</si>
  <si>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</si>
  <si>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</si>
  <si>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</si>
  <si>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</si>
  <si>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</si>
  <si>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</si>
  <si>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</si>
  <si>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</si>
  <si>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</si>
  <si>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</si>
  <si>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</si>
  <si>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</si>
  <si>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</si>
  <si>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</si>
  <si>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</si>
  <si>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</si>
  <si>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</si>
  <si>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</si>
  <si>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</si>
  <si>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</si>
  <si>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</si>
  <si>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</si>
  <si>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</si>
  <si>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</si>
  <si>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</si>
  <si>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</si>
  <si>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</si>
  <si>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</si>
  <si>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</si>
  <si>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</si>
  <si>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</si>
  <si>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</si>
  <si>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</si>
  <si>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</si>
  <si>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</si>
  <si>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</si>
  <si>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</si>
  <si>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</si>
  <si>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</si>
  <si>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</si>
  <si>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</si>
  <si>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</si>
  <si>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</si>
  <si>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</si>
  <si>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</si>
  <si>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</si>
  <si>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</si>
  <si>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</si>
  <si>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</si>
  <si>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</si>
  <si>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</si>
  <si>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</si>
  <si>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</si>
  <si>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</si>
  <si>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</si>
  <si>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</si>
  <si>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</si>
  <si>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</si>
  <si>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</si>
  <si>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</si>
  <si>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</si>
  <si>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</si>
  <si>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</si>
  <si>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</si>
  <si>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</si>
  <si>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</si>
  <si>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</si>
  <si>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</si>
  <si>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</si>
  <si>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</si>
  <si>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</si>
  <si>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</si>
  <si>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</si>
  <si>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</si>
  <si>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</si>
  <si>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</si>
  <si>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</si>
  <si>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</si>
  <si>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</si>
  <si>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</si>
  <si>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</si>
  <si>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</si>
  <si>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</si>
  <si>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</si>
  <si>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</si>
  <si>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</si>
  <si>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</si>
  <si>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</si>
  <si>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</si>
  <si>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</si>
  <si>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</si>
  <si>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</si>
  <si>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</si>
  <si>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</si>
  <si>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</si>
  <si>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</si>
  <si>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</si>
  <si>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</si>
  <si>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</si>
  <si>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</si>
  <si>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</si>
  <si>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</si>
  <si>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</si>
  <si>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</si>
  <si>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</si>
  <si>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</si>
  <si>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</si>
  <si>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</si>
  <si>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</si>
  <si>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</si>
  <si>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</si>
  <si>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</si>
  <si>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</si>
  <si>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</si>
  <si>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</si>
  <si>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</si>
  <si>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</si>
  <si>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</si>
  <si>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</si>
  <si>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</si>
  <si>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</si>
  <si>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</si>
  <si>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</si>
  <si>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</si>
  <si>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</si>
  <si>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</si>
  <si>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</si>
  <si>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</si>
  <si>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</si>
  <si>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</si>
  <si>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</si>
  <si>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</si>
  <si>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</si>
  <si>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</si>
  <si>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</si>
  <si>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Number of Unique medicine</t>
  </si>
  <si>
    <t>Number of Severe Reaction</t>
  </si>
  <si>
    <t>Row Labels</t>
  </si>
  <si>
    <t>Grand Total</t>
  </si>
  <si>
    <t>Count of Patient_ID</t>
  </si>
  <si>
    <t>Column Labels</t>
  </si>
  <si>
    <t>Total  Reported ADR</t>
  </si>
  <si>
    <t>NO Reported ADR</t>
  </si>
  <si>
    <t>Total Records</t>
  </si>
  <si>
    <t>Average Patient Age of ADR cases</t>
  </si>
  <si>
    <t>ADR Reporting Rate</t>
  </si>
  <si>
    <t>(Multiple Items)</t>
  </si>
  <si>
    <t>Count of Reported ADR</t>
  </si>
  <si>
    <t>Reported ADR</t>
  </si>
  <si>
    <t>28-37</t>
  </si>
  <si>
    <t>38-47</t>
  </si>
  <si>
    <t>58-67</t>
  </si>
  <si>
    <t>48-57</t>
  </si>
  <si>
    <t>68-77</t>
  </si>
  <si>
    <t>18-27</t>
  </si>
  <si>
    <t>78-87</t>
  </si>
  <si>
    <t>Count of Age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</si>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</sst>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2" borderId="0" xfId="0" applyFill="1"/>
    <xf numFmtId="1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0" fontId="0" fillId="2" borderId="0" xfId="0" applyNumberFormat="1" applyFill="1"/>
    <xf numFmtId="0" fontId="1" fillId="2" borderId="0" xfId="0" applyFont="1" applyFill="1"/>
  </cellXfs>
  <cellStyles count="1">
    <cellStyle name="Normal" xfId="0" builtinId="0"/>
  </cellStyles>
  <dxfs count="1"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[ADR Analysis.xlsx]Pivot table!PivotTable1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table'!$A$4:$A$12</c:f>
              <c:strCache>
                <c:ptCount val="8"/>
                <c:pt idx="0">
                  <c:v>Amoxicillin</c:v>
                </c:pt>
                <c:pt idx="1">
                  <c:v>Ciprofloxacin</c:v>
                </c:pt>
                <c:pt idx="2">
                  <c:v>Metformin</c:v>
                </c:pt>
                <c:pt idx="3">
                  <c:v>Atorvastatin</c:v>
                </c:pt>
                <c:pt idx="4">
                  <c:v>Azithromycin</c:v>
                </c:pt>
                <c:pt idx="5">
                  <c:v>Ibuprofen</c:v>
                </c:pt>
                <c:pt idx="6">
                  <c:v>Amlodipine</c:v>
                </c:pt>
                <c:pt idx="7">
                  <c:v>Paracetamol</c:v>
                </c:pt>
              </c:strCache>
            </c:strRef>
          </c:cat>
          <c:val>
            <c:numRef>
              <c:f>'Pivot table'!$B$4:$B$12</c:f>
              <c:numCache>
                <c:formatCode>General</c:formatCode>
                <c:ptCount val="8"/>
                <c:pt idx="0">
                  <c:v>22</c:v>
                </c:pt>
                <c:pt idx="1">
                  <c:v>18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16</c:v>
                </c:pt>
                <c:pt idx="6">
                  <c:v>14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A-4002-A80D-18C49569C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739007"/>
        <c:axId val="31151103"/>
      </c:barChart>
      <c:catAx>
        <c:axId val="8573900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51103"/>
        <c:crosses val="autoZero"/>
        <c:auto val="1"/>
        <c:lblAlgn val="ctr"/>
        <c:lblOffset val="100"/>
        <c:noMultiLvlLbl val="0"/>
      </c:catAx>
      <c:valAx>
        <c:axId val="311511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39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[ADR Analysis.xlsx]Pivot table!PivotTable4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table'!$E$3:$E$4</c:f>
              <c:strCache>
                <c:ptCount val="1"/>
                <c:pt idx="0">
                  <c:v>Diarrhea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table'!$D$5:$D$13</c:f>
              <c:strCache>
                <c:ptCount val="8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Azithromycin</c:v>
                </c:pt>
                <c:pt idx="4">
                  <c:v>Ciprofloxacin</c:v>
                </c:pt>
                <c:pt idx="5">
                  <c:v>Ibuprofen</c:v>
                </c:pt>
                <c:pt idx="6">
                  <c:v>Metformin</c:v>
                </c:pt>
                <c:pt idx="7">
                  <c:v>Paracetamol</c:v>
                </c:pt>
              </c:strCache>
            </c:strRef>
          </c:cat>
          <c:val>
            <c:numRef>
              <c:f>'Pivot table'!$E$5:$E$13</c:f>
              <c:numCache>
                <c:formatCode>General</c:formatCode>
                <c:ptCount val="8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6">
                  <c:v>1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A-4666-9EF9-DAAC16046454}"/>
            </c:ext>
          </c:extLst>
        </c:ser>
        <c:ser>
          <c:idx val="1"/>
          <c:order val="1"/>
          <c:tx>
            <c:strRef>
              <c:f>'Pivot table'!$F$3:$F$4</c:f>
              <c:strCache>
                <c:ptCount val="1"/>
                <c:pt idx="0">
                  <c:v>Dizziness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table'!$D$5:$D$13</c:f>
              <c:strCache>
                <c:ptCount val="8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Azithromycin</c:v>
                </c:pt>
                <c:pt idx="4">
                  <c:v>Ciprofloxacin</c:v>
                </c:pt>
                <c:pt idx="5">
                  <c:v>Ibuprofen</c:v>
                </c:pt>
                <c:pt idx="6">
                  <c:v>Metformin</c:v>
                </c:pt>
                <c:pt idx="7">
                  <c:v>Paracetamol</c:v>
                </c:pt>
              </c:strCache>
            </c:strRef>
          </c:cat>
          <c:val>
            <c:numRef>
              <c:f>'Pivot table'!$F$5:$F$13</c:f>
              <c:numCache>
                <c:formatCode>General</c:formatCode>
                <c:ptCount val="8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EA-4666-9EF9-DAAC16046454}"/>
            </c:ext>
          </c:extLst>
        </c:ser>
        <c:ser>
          <c:idx val="2"/>
          <c:order val="2"/>
          <c:tx>
            <c:strRef>
              <c:f>'Pivot table'!$G$3:$G$4</c:f>
              <c:strCache>
                <c:ptCount val="1"/>
                <c:pt idx="0">
                  <c:v>Fatigue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table'!$D$5:$D$13</c:f>
              <c:strCache>
                <c:ptCount val="8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Azithromycin</c:v>
                </c:pt>
                <c:pt idx="4">
                  <c:v>Ciprofloxacin</c:v>
                </c:pt>
                <c:pt idx="5">
                  <c:v>Ibuprofen</c:v>
                </c:pt>
                <c:pt idx="6">
                  <c:v>Metformin</c:v>
                </c:pt>
                <c:pt idx="7">
                  <c:v>Paracetamol</c:v>
                </c:pt>
              </c:strCache>
            </c:strRef>
          </c:cat>
          <c:val>
            <c:numRef>
              <c:f>'Pivot table'!$G$5:$G$13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EA-4666-9EF9-DAAC16046454}"/>
            </c:ext>
          </c:extLst>
        </c:ser>
        <c:ser>
          <c:idx val="3"/>
          <c:order val="3"/>
          <c:tx>
            <c:strRef>
              <c:f>'Pivot table'!$H$3:$H$4</c:f>
              <c:strCache>
                <c:ptCount val="1"/>
                <c:pt idx="0">
                  <c:v>Headache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table'!$D$5:$D$13</c:f>
              <c:strCache>
                <c:ptCount val="8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Azithromycin</c:v>
                </c:pt>
                <c:pt idx="4">
                  <c:v>Ciprofloxacin</c:v>
                </c:pt>
                <c:pt idx="5">
                  <c:v>Ibuprofen</c:v>
                </c:pt>
                <c:pt idx="6">
                  <c:v>Metformin</c:v>
                </c:pt>
                <c:pt idx="7">
                  <c:v>Paracetamol</c:v>
                </c:pt>
              </c:strCache>
            </c:strRef>
          </c:cat>
          <c:val>
            <c:numRef>
              <c:f>'Pivot table'!$H$5:$H$13</c:f>
              <c:numCache>
                <c:formatCode>General</c:formatCode>
                <c:ptCount val="8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4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EA-4666-9EF9-DAAC16046454}"/>
            </c:ext>
          </c:extLst>
        </c:ser>
        <c:ser>
          <c:idx val="4"/>
          <c:order val="4"/>
          <c:tx>
            <c:strRef>
              <c:f>'Pivot table'!$I$3:$I$4</c:f>
              <c:strCache>
                <c:ptCount val="1"/>
                <c:pt idx="0">
                  <c:v>Itching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table'!$D$5:$D$13</c:f>
              <c:strCache>
                <c:ptCount val="8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Azithromycin</c:v>
                </c:pt>
                <c:pt idx="4">
                  <c:v>Ciprofloxacin</c:v>
                </c:pt>
                <c:pt idx="5">
                  <c:v>Ibuprofen</c:v>
                </c:pt>
                <c:pt idx="6">
                  <c:v>Metformin</c:v>
                </c:pt>
                <c:pt idx="7">
                  <c:v>Paracetamol</c:v>
                </c:pt>
              </c:strCache>
            </c:strRef>
          </c:cat>
          <c:val>
            <c:numRef>
              <c:f>'Pivot table'!$I$5:$I$13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EA-4666-9EF9-DAAC16046454}"/>
            </c:ext>
          </c:extLst>
        </c:ser>
        <c:ser>
          <c:idx val="5"/>
          <c:order val="5"/>
          <c:tx>
            <c:strRef>
              <c:f>'Pivot table'!$J$3:$J$4</c:f>
              <c:strCache>
                <c:ptCount val="1"/>
                <c:pt idx="0">
                  <c:v>Nausea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table'!$D$5:$D$13</c:f>
              <c:strCache>
                <c:ptCount val="8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Azithromycin</c:v>
                </c:pt>
                <c:pt idx="4">
                  <c:v>Ciprofloxacin</c:v>
                </c:pt>
                <c:pt idx="5">
                  <c:v>Ibuprofen</c:v>
                </c:pt>
                <c:pt idx="6">
                  <c:v>Metformin</c:v>
                </c:pt>
                <c:pt idx="7">
                  <c:v>Paracetamol</c:v>
                </c:pt>
              </c:strCache>
            </c:strRef>
          </c:cat>
          <c:val>
            <c:numRef>
              <c:f>'Pivot table'!$J$5:$J$13</c:f>
              <c:numCache>
                <c:formatCode>General</c:formatCode>
                <c:ptCount val="8"/>
                <c:pt idx="1">
                  <c:v>5</c:v>
                </c:pt>
                <c:pt idx="2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EA-4666-9EF9-DAAC16046454}"/>
            </c:ext>
          </c:extLst>
        </c:ser>
        <c:ser>
          <c:idx val="6"/>
          <c:order val="6"/>
          <c:tx>
            <c:strRef>
              <c:f>'Pivot table'!$K$3:$K$4</c:f>
              <c:strCache>
                <c:ptCount val="1"/>
                <c:pt idx="0">
                  <c:v>Rash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table'!$D$5:$D$13</c:f>
              <c:strCache>
                <c:ptCount val="8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Azithromycin</c:v>
                </c:pt>
                <c:pt idx="4">
                  <c:v>Ciprofloxacin</c:v>
                </c:pt>
                <c:pt idx="5">
                  <c:v>Ibuprofen</c:v>
                </c:pt>
                <c:pt idx="6">
                  <c:v>Metformin</c:v>
                </c:pt>
                <c:pt idx="7">
                  <c:v>Paracetamol</c:v>
                </c:pt>
              </c:strCache>
            </c:strRef>
          </c:cat>
          <c:val>
            <c:numRef>
              <c:f>'Pivot table'!$K$5:$K$13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EA-4666-9EF9-DAAC16046454}"/>
            </c:ext>
          </c:extLst>
        </c:ser>
        <c:ser>
          <c:idx val="7"/>
          <c:order val="7"/>
          <c:tx>
            <c:strRef>
              <c:f>'Pivot table'!$L$3:$L$4</c:f>
              <c:strCache>
                <c:ptCount val="1"/>
                <c:pt idx="0">
                  <c:v>Vomiting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table'!$D$5:$D$13</c:f>
              <c:strCache>
                <c:ptCount val="8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Azithromycin</c:v>
                </c:pt>
                <c:pt idx="4">
                  <c:v>Ciprofloxacin</c:v>
                </c:pt>
                <c:pt idx="5">
                  <c:v>Ibuprofen</c:v>
                </c:pt>
                <c:pt idx="6">
                  <c:v>Metformin</c:v>
                </c:pt>
                <c:pt idx="7">
                  <c:v>Paracetamol</c:v>
                </c:pt>
              </c:strCache>
            </c:strRef>
          </c:cat>
          <c:val>
            <c:numRef>
              <c:f>'Pivot table'!$L$5:$L$13</c:f>
              <c:numCache>
                <c:formatCode>General</c:formatCode>
                <c:ptCount val="8"/>
                <c:pt idx="1">
                  <c:v>7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EA-4666-9EF9-DAAC16046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7916047"/>
        <c:axId val="289660863"/>
      </c:barChart>
      <c:catAx>
        <c:axId val="30791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660863"/>
        <c:crosses val="autoZero"/>
        <c:auto val="1"/>
        <c:lblAlgn val="ctr"/>
        <c:lblOffset val="100"/>
        <c:noMultiLvlLbl val="0"/>
      </c:catAx>
      <c:valAx>
        <c:axId val="28966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91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112068965517238"/>
          <c:y val="0.18858989618321903"/>
          <c:w val="0.17025862068965517"/>
          <c:h val="0.622819784064484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[ADR Analysis.xlsx]Pivot table!PivotTable5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6437945529504686E-2"/>
          <c:y val="0.19336995205312976"/>
          <c:w val="0.57928076968914688"/>
          <c:h val="0.68469572766215914"/>
        </c:manualLayout>
      </c:layout>
      <c:pieChart>
        <c:varyColors val="1"/>
        <c:ser>
          <c:idx val="0"/>
          <c:order val="0"/>
          <c:tx>
            <c:strRef>
              <c:f>'Pivot table'!$C$17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FA-4512-8644-1B66B6D775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FA-4512-8644-1B66B6D775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BFA-4512-8644-1B66B6D775A4}"/>
              </c:ext>
            </c:extLst>
          </c:dPt>
          <c:cat>
            <c:strRef>
              <c:f>'Pivot table'!$B$18:$B$21</c:f>
              <c:strCache>
                <c:ptCount val="3"/>
                <c:pt idx="0">
                  <c:v>Mild</c:v>
                </c:pt>
                <c:pt idx="1">
                  <c:v>Moderate</c:v>
                </c:pt>
                <c:pt idx="2">
                  <c:v>Severe</c:v>
                </c:pt>
              </c:strCache>
            </c:strRef>
          </c:cat>
          <c:val>
            <c:numRef>
              <c:f>'Pivot table'!$C$18:$C$21</c:f>
              <c:numCache>
                <c:formatCode>General</c:formatCode>
                <c:ptCount val="3"/>
                <c:pt idx="0">
                  <c:v>75</c:v>
                </c:pt>
                <c:pt idx="1">
                  <c:v>46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FA-4512-8644-1B66B6D77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462666812816225"/>
          <c:y val="0.33350091069628973"/>
          <c:w val="0.33333316259786983"/>
          <c:h val="0.478154268253219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[ADR Analysis.xlsx]Pivot table!PivotTable7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69434502505368E-2"/>
          <c:y val="0.27154963400835891"/>
          <c:w val="0.89403292770221909"/>
          <c:h val="0.5428306432370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table'!$F$18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table'!$E$19:$E$26</c:f>
              <c:strCache>
                <c:ptCount val="7"/>
                <c:pt idx="0">
                  <c:v>28-37</c:v>
                </c:pt>
                <c:pt idx="1">
                  <c:v>38-47</c:v>
                </c:pt>
                <c:pt idx="2">
                  <c:v>58-67</c:v>
                </c:pt>
                <c:pt idx="3">
                  <c:v>48-57</c:v>
                </c:pt>
                <c:pt idx="4">
                  <c:v>68-77</c:v>
                </c:pt>
                <c:pt idx="5">
                  <c:v>18-27</c:v>
                </c:pt>
                <c:pt idx="6">
                  <c:v>78-87</c:v>
                </c:pt>
              </c:strCache>
            </c:strRef>
          </c:cat>
          <c:val>
            <c:numRef>
              <c:f>'Pivot table'!$F$19:$F$26</c:f>
              <c:numCache>
                <c:formatCode>General</c:formatCode>
                <c:ptCount val="7"/>
                <c:pt idx="0">
                  <c:v>30</c:v>
                </c:pt>
                <c:pt idx="1">
                  <c:v>21</c:v>
                </c:pt>
                <c:pt idx="2">
                  <c:v>21</c:v>
                </c:pt>
                <c:pt idx="3">
                  <c:v>20</c:v>
                </c:pt>
                <c:pt idx="4">
                  <c:v>18</c:v>
                </c:pt>
                <c:pt idx="5">
                  <c:v>17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2-44F1-887C-684246344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0770191"/>
        <c:axId val="289670943"/>
      </c:barChart>
      <c:catAx>
        <c:axId val="31077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670943"/>
        <c:crosses val="autoZero"/>
        <c:auto val="1"/>
        <c:lblAlgn val="ctr"/>
        <c:lblOffset val="100"/>
        <c:noMultiLvlLbl val="0"/>
      </c:catAx>
      <c:valAx>
        <c:axId val="289670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77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[ADR Analysis.xlsx]Pivot table!PivotTable8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78219026969455"/>
          <c:y val="0.30420610781053092"/>
          <c:w val="0.809038000684697"/>
          <c:h val="0.43720306622322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table'!$C$28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table'!$B$29:$B$31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table'!$C$29:$C$31</c:f>
              <c:numCache>
                <c:formatCode>General</c:formatCode>
                <c:ptCount val="2"/>
                <c:pt idx="0">
                  <c:v>53</c:v>
                </c:pt>
                <c:pt idx="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A-475D-B21E-F89349CEE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338191"/>
        <c:axId val="289670463"/>
      </c:barChart>
      <c:catAx>
        <c:axId val="2453381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670463"/>
        <c:crosses val="autoZero"/>
        <c:auto val="1"/>
        <c:lblAlgn val="ctr"/>
        <c:lblOffset val="100"/>
        <c:noMultiLvlLbl val="0"/>
      </c:catAx>
      <c:valAx>
        <c:axId val="2896704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45338191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[ADR Analysis.xlsx]Pivot table!PivotTable9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table'!$J$27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table'!$I$28:$I$42</c:f>
              <c:strCache>
                <c:ptCount val="14"/>
                <c:pt idx="0">
                  <c:v>2</c:v>
                </c:pt>
                <c:pt idx="1">
                  <c:v>12</c:v>
                </c:pt>
                <c:pt idx="2">
                  <c:v>9</c:v>
                </c:pt>
                <c:pt idx="3">
                  <c:v>1</c:v>
                </c:pt>
                <c:pt idx="4">
                  <c:v>7</c:v>
                </c:pt>
                <c:pt idx="5">
                  <c:v>8</c:v>
                </c:pt>
                <c:pt idx="6">
                  <c:v>4</c:v>
                </c:pt>
                <c:pt idx="7">
                  <c:v>13</c:v>
                </c:pt>
                <c:pt idx="8">
                  <c:v>11</c:v>
                </c:pt>
                <c:pt idx="9">
                  <c:v>14</c:v>
                </c:pt>
                <c:pt idx="10">
                  <c:v>3</c:v>
                </c:pt>
                <c:pt idx="11">
                  <c:v>10</c:v>
                </c:pt>
                <c:pt idx="12">
                  <c:v>5</c:v>
                </c:pt>
                <c:pt idx="13">
                  <c:v>6</c:v>
                </c:pt>
              </c:strCache>
            </c:strRef>
          </c:cat>
          <c:val>
            <c:numRef>
              <c:f>'Pivot table'!$J$28:$J$42</c:f>
              <c:numCache>
                <c:formatCode>General</c:formatCode>
                <c:ptCount val="14"/>
                <c:pt idx="0">
                  <c:v>17</c:v>
                </c:pt>
                <c:pt idx="1">
                  <c:v>16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7</c:v>
                </c:pt>
                <c:pt idx="12">
                  <c:v>4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D-42C9-8FA4-43EFCADD1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1235439"/>
        <c:axId val="289669023"/>
      </c:barChart>
      <c:catAx>
        <c:axId val="3412354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669023"/>
        <c:crosses val="autoZero"/>
        <c:auto val="1"/>
        <c:lblAlgn val="ctr"/>
        <c:lblOffset val="100"/>
        <c:noMultiLvlLbl val="0"/>
      </c:catAx>
      <c:valAx>
        <c:axId val="2896690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23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[ADR Analysis.xlsx]Pivot table!PivotTable11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 cmpd="sng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 cmpd="sng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ln w="28575" cap="rnd" cmpd="sng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ln w="28575" cap="rnd" cmpd="sng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 cmpd="sng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1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14E-4384-944A-BB9F73DFF580}"/>
              </c:ext>
            </c:extLst>
          </c:dPt>
          <c:cat>
            <c:strRef>
              <c:f>'Pivot table'!$A$40:$A$46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'Pivot table'!$B$40:$B$46</c:f>
              <c:numCache>
                <c:formatCode>General</c:formatCode>
                <c:ptCount val="6"/>
                <c:pt idx="0">
                  <c:v>28</c:v>
                </c:pt>
                <c:pt idx="1">
                  <c:v>23</c:v>
                </c:pt>
                <c:pt idx="2">
                  <c:v>25</c:v>
                </c:pt>
                <c:pt idx="3">
                  <c:v>21</c:v>
                </c:pt>
                <c:pt idx="4">
                  <c:v>17</c:v>
                </c:pt>
                <c:pt idx="5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4E-4384-944A-BB9F73DFF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057935"/>
        <c:axId val="289659903"/>
      </c:lineChart>
      <c:catAx>
        <c:axId val="26405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659903"/>
        <c:crosses val="autoZero"/>
        <c:auto val="1"/>
        <c:lblAlgn val="ctr"/>
        <c:lblOffset val="100"/>
        <c:noMultiLvlLbl val="0"/>
      </c:catAx>
      <c:valAx>
        <c:axId val="28965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05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24</xdr:col>
      <xdr:colOff>335280</xdr:colOff>
      <xdr:row>37</xdr:row>
      <xdr:rowOff>22860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E0BD18C-DEA7-291F-DB8E-2F5A64CC288D}"/>
            </a:ext>
          </a:extLst>
        </xdr:cNvPr>
        <xdr:cNvSpPr/>
      </xdr:nvSpPr>
      <xdr:spPr>
        <a:xfrm>
          <a:off x="0" y="0"/>
          <a:ext cx="14965680" cy="678942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</xdr:col>
      <xdr:colOff>259080</xdr:colOff>
      <xdr:row>0</xdr:row>
      <xdr:rowOff>60960</xdr:rowOff>
    </xdr:from>
    <xdr:to>
      <xdr:col>19</xdr:col>
      <xdr:colOff>259080</xdr:colOff>
      <xdr:row>4</xdr:row>
      <xdr:rowOff>30480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7D33303-9F45-225F-9291-E612D6424B0D}"/>
            </a:ext>
          </a:extLst>
        </xdr:cNvPr>
        <xdr:cNvSpPr/>
      </xdr:nvSpPr>
      <xdr:spPr>
        <a:xfrm>
          <a:off x="868680" y="60960"/>
          <a:ext cx="10972800" cy="701040"/>
        </a:xfrm>
        <a:prstGeom prst="roundRect">
          <a:avLst/>
        </a:prstGeom>
        <a:gradFill flip="none" rotWithShape="1">
          <a:gsLst>
            <a:gs pos="0">
              <a:schemeClr val="tx2">
                <a:lumMod val="60000"/>
                <a:lumOff val="40000"/>
                <a:shade val="30000"/>
                <a:satMod val="115000"/>
              </a:schemeClr>
            </a:gs>
            <a:gs pos="50000">
              <a:schemeClr val="tx2">
                <a:lumMod val="60000"/>
                <a:lumOff val="40000"/>
                <a:shade val="67500"/>
                <a:satMod val="115000"/>
              </a:schemeClr>
            </a:gs>
            <a:gs pos="100000">
              <a:schemeClr val="tx2">
                <a:lumMod val="60000"/>
                <a:lumOff val="40000"/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E" sz="4000"/>
            <a:t>Adverse Drug Reaction</a:t>
          </a:r>
          <a:r>
            <a:rPr lang="en-AE" sz="4000" baseline="0"/>
            <a:t> Analysis Dashboard</a:t>
          </a:r>
          <a:endParaRPr lang="en-AE" sz="4000"/>
        </a:p>
      </xdr:txBody>
    </xdr:sp>
    <xdr:clientData/>
  </xdr:twoCellAnchor>
  <xdr:twoCellAnchor>
    <xdr:from>
      <xdr:col>0</xdr:col>
      <xdr:colOff>60960</xdr:colOff>
      <xdr:row>4</xdr:row>
      <xdr:rowOff>114300</xdr:rowOff>
    </xdr:from>
    <xdr:to>
      <xdr:col>3</xdr:col>
      <xdr:colOff>601980</xdr:colOff>
      <xdr:row>20</xdr:row>
      <xdr:rowOff>38100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5548BFC-1D12-8579-581E-2048ECBB9449}"/>
            </a:ext>
          </a:extLst>
        </xdr:cNvPr>
        <xdr:cNvSpPr/>
      </xdr:nvSpPr>
      <xdr:spPr>
        <a:xfrm>
          <a:off x="60960" y="845820"/>
          <a:ext cx="2369820" cy="2849880"/>
        </a:xfrm>
        <a:prstGeom prst="roundRect">
          <a:avLst/>
        </a:prstGeom>
        <a:gradFill flip="none" rotWithShape="1">
          <a:gsLst>
            <a:gs pos="0">
              <a:schemeClr val="accent1">
                <a:shade val="30000"/>
                <a:satMod val="115000"/>
              </a:schemeClr>
            </a:gs>
            <a:gs pos="50000">
              <a:schemeClr val="accent1">
                <a:shade val="67500"/>
                <a:satMod val="115000"/>
              </a:schemeClr>
            </a:gs>
            <a:gs pos="100000">
              <a:schemeClr val="accent1"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AE" sz="11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Total Records = 300 </a:t>
          </a:r>
        </a:p>
        <a:p>
          <a:endParaRPr lang="en-AE" sz="1100" b="1" i="0" u="none" strike="noStrike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en-AE" sz="11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NO Reported ADR = 167 </a:t>
          </a:r>
        </a:p>
        <a:p>
          <a:endParaRPr lang="en-AE" sz="1100" b="1" i="0" u="none" strike="noStrike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en-AE" sz="11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Total  Reported ADR = 133 </a:t>
          </a:r>
        </a:p>
        <a:p>
          <a:r>
            <a:rPr lang="en-AE" sz="11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   </a:t>
          </a:r>
        </a:p>
        <a:p>
          <a:r>
            <a:rPr lang="en-AE" sz="11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Average Patient Age of ADR = 48 </a:t>
          </a:r>
        </a:p>
        <a:p>
          <a:r>
            <a:rPr lang="en-AE" sz="11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   </a:t>
          </a:r>
        </a:p>
        <a:p>
          <a:r>
            <a:rPr lang="en-AE" sz="11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Number of Unique medicine = 8 </a:t>
          </a:r>
        </a:p>
        <a:p>
          <a:r>
            <a:rPr lang="en-AE" sz="11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   </a:t>
          </a:r>
        </a:p>
        <a:p>
          <a:r>
            <a:rPr lang="en-AE" sz="11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Number of Severe Reaction = 12</a:t>
          </a:r>
        </a:p>
        <a:p>
          <a:r>
            <a:rPr lang="en-AE" sz="11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   </a:t>
          </a:r>
        </a:p>
        <a:p>
          <a:r>
            <a:rPr lang="en-AE" sz="11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ADR Reporting Rate = 44.30% </a:t>
          </a:r>
        </a:p>
        <a:p>
          <a:pPr algn="l"/>
          <a:r>
            <a:rPr lang="en-AE" sz="11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</a:p>
      </xdr:txBody>
    </xdr:sp>
    <xdr:clientData/>
  </xdr:twoCellAnchor>
  <xdr:twoCellAnchor>
    <xdr:from>
      <xdr:col>4</xdr:col>
      <xdr:colOff>57941</xdr:colOff>
      <xdr:row>4</xdr:row>
      <xdr:rowOff>89853</xdr:rowOff>
    </xdr:from>
    <xdr:to>
      <xdr:col>11</xdr:col>
      <xdr:colOff>30852</xdr:colOff>
      <xdr:row>19</xdr:row>
      <xdr:rowOff>160020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673CAAB-9F2E-AA12-73B2-EA6E5E7B66A8}"/>
            </a:ext>
          </a:extLst>
        </xdr:cNvPr>
        <xdr:cNvSpPr/>
      </xdr:nvSpPr>
      <xdr:spPr>
        <a:xfrm>
          <a:off x="2496341" y="821373"/>
          <a:ext cx="4240111" cy="2813367"/>
        </a:xfrm>
        <a:prstGeom prst="roundRect">
          <a:avLst/>
        </a:prstGeom>
        <a:gradFill flip="none" rotWithShape="1">
          <a:gsLst>
            <a:gs pos="0">
              <a:schemeClr val="tx2">
                <a:lumMod val="40000"/>
                <a:lumOff val="60000"/>
                <a:shade val="30000"/>
                <a:satMod val="115000"/>
              </a:schemeClr>
            </a:gs>
            <a:gs pos="50000">
              <a:schemeClr val="tx2">
                <a:lumMod val="40000"/>
                <a:lumOff val="60000"/>
                <a:shade val="67500"/>
                <a:satMod val="115000"/>
              </a:schemeClr>
            </a:gs>
            <a:gs pos="100000">
              <a:schemeClr val="tx2">
                <a:lumMod val="40000"/>
                <a:lumOff val="60000"/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11</xdr:col>
      <xdr:colOff>106680</xdr:colOff>
      <xdr:row>4</xdr:row>
      <xdr:rowOff>68580</xdr:rowOff>
    </xdr:from>
    <xdr:to>
      <xdr:col>18</xdr:col>
      <xdr:colOff>522016</xdr:colOff>
      <xdr:row>19</xdr:row>
      <xdr:rowOff>19146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CAA8946-1DF4-1394-3A88-A02E45AF25F3}"/>
            </a:ext>
          </a:extLst>
        </xdr:cNvPr>
        <xdr:cNvSpPr/>
      </xdr:nvSpPr>
      <xdr:spPr>
        <a:xfrm>
          <a:off x="6812280" y="800100"/>
          <a:ext cx="4682536" cy="2693766"/>
        </a:xfrm>
        <a:prstGeom prst="roundRect">
          <a:avLst/>
        </a:prstGeom>
        <a:gradFill flip="none" rotWithShape="1">
          <a:gsLst>
            <a:gs pos="0">
              <a:schemeClr val="tx2">
                <a:lumMod val="40000"/>
                <a:lumOff val="60000"/>
                <a:shade val="30000"/>
                <a:satMod val="115000"/>
              </a:schemeClr>
            </a:gs>
            <a:gs pos="50000">
              <a:schemeClr val="tx2">
                <a:lumMod val="40000"/>
                <a:lumOff val="60000"/>
                <a:shade val="67500"/>
                <a:satMod val="115000"/>
              </a:schemeClr>
            </a:gs>
            <a:gs pos="100000">
              <a:schemeClr val="tx2">
                <a:lumMod val="40000"/>
                <a:lumOff val="60000"/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4</xdr:col>
      <xdr:colOff>350520</xdr:colOff>
      <xdr:row>4</xdr:row>
      <xdr:rowOff>68579</xdr:rowOff>
    </xdr:from>
    <xdr:to>
      <xdr:col>10</xdr:col>
      <xdr:colOff>594360</xdr:colOff>
      <xdr:row>18</xdr:row>
      <xdr:rowOff>180586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50C0F25-EBE8-44EC-8B54-E0280D3CC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99060</xdr:colOff>
      <xdr:row>5</xdr:row>
      <xdr:rowOff>138470</xdr:rowOff>
    </xdr:from>
    <xdr:to>
      <xdr:col>18</xdr:col>
      <xdr:colOff>251460</xdr:colOff>
      <xdr:row>18</xdr:row>
      <xdr:rowOff>121920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06F4FF0-D084-4B4F-A48E-4602ADBDF8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83819</xdr:colOff>
      <xdr:row>20</xdr:row>
      <xdr:rowOff>121920</xdr:rowOff>
    </xdr:from>
    <xdr:to>
      <xdr:col>22</xdr:col>
      <xdr:colOff>388620</xdr:colOff>
      <xdr:row>31</xdr:row>
      <xdr:rowOff>62252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A1B63C0A-310F-4DE7-AA55-AE9210C12E16}"/>
            </a:ext>
          </a:extLst>
        </xdr:cNvPr>
        <xdr:cNvSpPr/>
      </xdr:nvSpPr>
      <xdr:spPr>
        <a:xfrm>
          <a:off x="11666219" y="3779520"/>
          <a:ext cx="2133601" cy="1952012"/>
        </a:xfrm>
        <a:prstGeom prst="roundRect">
          <a:avLst/>
        </a:prstGeom>
        <a:gradFill flip="none" rotWithShape="1">
          <a:gsLst>
            <a:gs pos="0">
              <a:schemeClr val="tx2">
                <a:lumMod val="40000"/>
                <a:lumOff val="60000"/>
                <a:shade val="30000"/>
                <a:satMod val="115000"/>
              </a:schemeClr>
            </a:gs>
            <a:gs pos="50000">
              <a:schemeClr val="tx2">
                <a:lumMod val="40000"/>
                <a:lumOff val="60000"/>
                <a:shade val="67500"/>
                <a:satMod val="115000"/>
              </a:schemeClr>
            </a:gs>
            <a:gs pos="100000">
              <a:schemeClr val="tx2">
                <a:lumMod val="40000"/>
                <a:lumOff val="60000"/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0</xdr:col>
      <xdr:colOff>121920</xdr:colOff>
      <xdr:row>21</xdr:row>
      <xdr:rowOff>45720</xdr:rowOff>
    </xdr:from>
    <xdr:to>
      <xdr:col>6</xdr:col>
      <xdr:colOff>358140</xdr:colOff>
      <xdr:row>34</xdr:row>
      <xdr:rowOff>32022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AD6A91A2-FAED-482E-8337-1D174D1C6E56}"/>
            </a:ext>
          </a:extLst>
        </xdr:cNvPr>
        <xdr:cNvSpPr/>
      </xdr:nvSpPr>
      <xdr:spPr>
        <a:xfrm>
          <a:off x="121920" y="3886200"/>
          <a:ext cx="3893820" cy="2363742"/>
        </a:xfrm>
        <a:prstGeom prst="roundRect">
          <a:avLst/>
        </a:prstGeom>
        <a:gradFill flip="none" rotWithShape="1">
          <a:gsLst>
            <a:gs pos="0">
              <a:schemeClr val="tx2">
                <a:lumMod val="40000"/>
                <a:lumOff val="60000"/>
                <a:shade val="30000"/>
                <a:satMod val="115000"/>
              </a:schemeClr>
            </a:gs>
            <a:gs pos="50000">
              <a:schemeClr val="tx2">
                <a:lumMod val="40000"/>
                <a:lumOff val="60000"/>
                <a:shade val="67500"/>
                <a:satMod val="115000"/>
              </a:schemeClr>
            </a:gs>
            <a:gs pos="100000">
              <a:schemeClr val="tx2">
                <a:lumMod val="40000"/>
                <a:lumOff val="60000"/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100"/>
            <a:t>c</a:t>
          </a:r>
        </a:p>
      </xdr:txBody>
    </xdr:sp>
    <xdr:clientData/>
  </xdr:twoCellAnchor>
  <xdr:twoCellAnchor>
    <xdr:from>
      <xdr:col>19</xdr:col>
      <xdr:colOff>213318</xdr:colOff>
      <xdr:row>22</xdr:row>
      <xdr:rowOff>90636</xdr:rowOff>
    </xdr:from>
    <xdr:to>
      <xdr:col>22</xdr:col>
      <xdr:colOff>336856</xdr:colOff>
      <xdr:row>31</xdr:row>
      <xdr:rowOff>175260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2E4BBB6-81BD-4F30-9409-CB6B44A35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220462</xdr:colOff>
      <xdr:row>22</xdr:row>
      <xdr:rowOff>29736</xdr:rowOff>
    </xdr:from>
    <xdr:to>
      <xdr:col>6</xdr:col>
      <xdr:colOff>191859</xdr:colOff>
      <xdr:row>33</xdr:row>
      <xdr:rowOff>144800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426266A-6B6B-4203-80B0-AD4A1A9CBE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2273</xdr:colOff>
      <xdr:row>4</xdr:row>
      <xdr:rowOff>125234</xdr:rowOff>
    </xdr:from>
    <xdr:to>
      <xdr:col>22</xdr:col>
      <xdr:colOff>200393</xdr:colOff>
      <xdr:row>18</xdr:row>
      <xdr:rowOff>129540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E764BC0D-2D00-4A08-B75C-8CB070D99E09}"/>
            </a:ext>
          </a:extLst>
        </xdr:cNvPr>
        <xdr:cNvSpPr/>
      </xdr:nvSpPr>
      <xdr:spPr>
        <a:xfrm>
          <a:off x="11584673" y="856754"/>
          <a:ext cx="2026920" cy="2564626"/>
        </a:xfrm>
        <a:prstGeom prst="roundRect">
          <a:avLst/>
        </a:prstGeom>
        <a:gradFill flip="none" rotWithShape="1">
          <a:gsLst>
            <a:gs pos="0">
              <a:schemeClr val="tx2">
                <a:lumMod val="40000"/>
                <a:lumOff val="60000"/>
                <a:shade val="30000"/>
                <a:satMod val="115000"/>
              </a:schemeClr>
            </a:gs>
            <a:gs pos="50000">
              <a:schemeClr val="tx2">
                <a:lumMod val="40000"/>
                <a:lumOff val="60000"/>
                <a:shade val="67500"/>
                <a:satMod val="115000"/>
              </a:schemeClr>
            </a:gs>
            <a:gs pos="100000">
              <a:schemeClr val="tx2">
                <a:lumMod val="40000"/>
                <a:lumOff val="60000"/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19</xdr:col>
      <xdr:colOff>115219</xdr:colOff>
      <xdr:row>6</xdr:row>
      <xdr:rowOff>94393</xdr:rowOff>
    </xdr:from>
    <xdr:to>
      <xdr:col>22</xdr:col>
      <xdr:colOff>141291</xdr:colOff>
      <xdr:row>16</xdr:row>
      <xdr:rowOff>144962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9FBE437-D3A7-4807-A765-1E01103BB6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483867</xdr:colOff>
      <xdr:row>21</xdr:row>
      <xdr:rowOff>7620</xdr:rowOff>
    </xdr:from>
    <xdr:to>
      <xdr:col>12</xdr:col>
      <xdr:colOff>144780</xdr:colOff>
      <xdr:row>34</xdr:row>
      <xdr:rowOff>83820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7A6F07DB-62D2-4359-BA91-C939CA20D670}"/>
            </a:ext>
          </a:extLst>
        </xdr:cNvPr>
        <xdr:cNvSpPr/>
      </xdr:nvSpPr>
      <xdr:spPr>
        <a:xfrm>
          <a:off x="4141467" y="3848100"/>
          <a:ext cx="3318513" cy="2453640"/>
        </a:xfrm>
        <a:prstGeom prst="roundRect">
          <a:avLst/>
        </a:prstGeom>
        <a:gradFill flip="none" rotWithShape="1">
          <a:gsLst>
            <a:gs pos="0">
              <a:schemeClr val="tx2">
                <a:lumMod val="40000"/>
                <a:lumOff val="60000"/>
                <a:shade val="30000"/>
                <a:satMod val="115000"/>
              </a:schemeClr>
            </a:gs>
            <a:gs pos="50000">
              <a:schemeClr val="tx2">
                <a:lumMod val="40000"/>
                <a:lumOff val="60000"/>
                <a:shade val="67500"/>
                <a:satMod val="115000"/>
              </a:schemeClr>
            </a:gs>
            <a:gs pos="100000">
              <a:schemeClr val="tx2">
                <a:lumMod val="40000"/>
                <a:lumOff val="60000"/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7</xdr:col>
      <xdr:colOff>40086</xdr:colOff>
      <xdr:row>22</xdr:row>
      <xdr:rowOff>62530</xdr:rowOff>
    </xdr:from>
    <xdr:to>
      <xdr:col>12</xdr:col>
      <xdr:colOff>100186</xdr:colOff>
      <xdr:row>33</xdr:row>
      <xdr:rowOff>11265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213A5F7-E724-4F74-B08E-58E07E781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155817</xdr:colOff>
      <xdr:row>4</xdr:row>
      <xdr:rowOff>83821</xdr:rowOff>
    </xdr:from>
    <xdr:to>
      <xdr:col>22</xdr:col>
      <xdr:colOff>215633</xdr:colOff>
      <xdr:row>7</xdr:row>
      <xdr:rowOff>7621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C1B0352-F49C-189A-A5C3-80C6F66244B1}"/>
            </a:ext>
          </a:extLst>
        </xdr:cNvPr>
        <xdr:cNvSpPr txBox="1"/>
      </xdr:nvSpPr>
      <xdr:spPr>
        <a:xfrm>
          <a:off x="11738217" y="815341"/>
          <a:ext cx="1888616" cy="4724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E" sz="1800">
              <a:solidFill>
                <a:schemeClr val="accent2">
                  <a:lumMod val="50000"/>
                </a:schemeClr>
              </a:solidFill>
            </a:rPr>
            <a:t>Gender Analysis</a:t>
          </a:r>
        </a:p>
      </xdr:txBody>
    </xdr:sp>
    <xdr:clientData/>
  </xdr:twoCellAnchor>
  <xdr:twoCellAnchor>
    <xdr:from>
      <xdr:col>12</xdr:col>
      <xdr:colOff>259080</xdr:colOff>
      <xdr:row>4</xdr:row>
      <xdr:rowOff>114300</xdr:rowOff>
    </xdr:from>
    <xdr:to>
      <xdr:col>16</xdr:col>
      <xdr:colOff>121920</xdr:colOff>
      <xdr:row>7</xdr:row>
      <xdr:rowOff>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01CA7CA-BA39-89CD-38E0-BAC1870F09BB}"/>
            </a:ext>
          </a:extLst>
        </xdr:cNvPr>
        <xdr:cNvSpPr txBox="1"/>
      </xdr:nvSpPr>
      <xdr:spPr>
        <a:xfrm>
          <a:off x="7574280" y="845820"/>
          <a:ext cx="2301240" cy="434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E" sz="2000">
              <a:solidFill>
                <a:schemeClr val="accent2">
                  <a:lumMod val="50000"/>
                </a:schemeClr>
              </a:solidFill>
            </a:rPr>
            <a:t>Symptomps Analysis</a:t>
          </a:r>
        </a:p>
      </xdr:txBody>
    </xdr:sp>
    <xdr:clientData/>
  </xdr:twoCellAnchor>
  <xdr:twoCellAnchor>
    <xdr:from>
      <xdr:col>19</xdr:col>
      <xdr:colOff>167640</xdr:colOff>
      <xdr:row>20</xdr:row>
      <xdr:rowOff>134874</xdr:rowOff>
    </xdr:from>
    <xdr:to>
      <xdr:col>22</xdr:col>
      <xdr:colOff>312420</xdr:colOff>
      <xdr:row>22</xdr:row>
      <xdr:rowOff>128032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87D4999-CF06-063C-75DA-D0F12187D345}"/>
            </a:ext>
          </a:extLst>
        </xdr:cNvPr>
        <xdr:cNvSpPr txBox="1"/>
      </xdr:nvSpPr>
      <xdr:spPr>
        <a:xfrm>
          <a:off x="11750040" y="3792474"/>
          <a:ext cx="1973580" cy="358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E" sz="1800">
              <a:solidFill>
                <a:schemeClr val="accent2">
                  <a:lumMod val="50000"/>
                </a:schemeClr>
              </a:solidFill>
            </a:rPr>
            <a:t>Severity</a:t>
          </a:r>
          <a:r>
            <a:rPr lang="en-AE" sz="1800" baseline="0">
              <a:solidFill>
                <a:schemeClr val="accent2">
                  <a:lumMod val="50000"/>
                </a:schemeClr>
              </a:solidFill>
            </a:rPr>
            <a:t> Analysis</a:t>
          </a:r>
          <a:endParaRPr lang="en-AE" sz="1800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  <xdr:twoCellAnchor>
    <xdr:from>
      <xdr:col>8</xdr:col>
      <xdr:colOff>87489</xdr:colOff>
      <xdr:row>20</xdr:row>
      <xdr:rowOff>174149</xdr:rowOff>
    </xdr:from>
    <xdr:to>
      <xdr:col>11</xdr:col>
      <xdr:colOff>328940</xdr:colOff>
      <xdr:row>22</xdr:row>
      <xdr:rowOff>166360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B1A9F3B-4053-D62D-3641-BD4FA1423748}"/>
            </a:ext>
          </a:extLst>
        </xdr:cNvPr>
        <xdr:cNvSpPr txBox="1"/>
      </xdr:nvSpPr>
      <xdr:spPr>
        <a:xfrm>
          <a:off x="4964289" y="3831749"/>
          <a:ext cx="2070251" cy="3579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E" sz="2000">
              <a:solidFill>
                <a:schemeClr val="accent2">
                  <a:lumMod val="50000"/>
                </a:schemeClr>
              </a:solidFill>
            </a:rPr>
            <a:t>Days</a:t>
          </a:r>
          <a:r>
            <a:rPr lang="en-AE" sz="2000" baseline="0">
              <a:solidFill>
                <a:schemeClr val="accent2">
                  <a:lumMod val="50000"/>
                </a:schemeClr>
              </a:solidFill>
            </a:rPr>
            <a:t> to Reaction</a:t>
          </a:r>
          <a:endParaRPr lang="en-AE" sz="2000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586740</xdr:colOff>
      <xdr:row>20</xdr:row>
      <xdr:rowOff>175260</xdr:rowOff>
    </xdr:from>
    <xdr:to>
      <xdr:col>5</xdr:col>
      <xdr:colOff>449580</xdr:colOff>
      <xdr:row>23</xdr:row>
      <xdr:rowOff>60960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313BCC1-08C9-5C60-468B-F34F8498E1CD}"/>
            </a:ext>
          </a:extLst>
        </xdr:cNvPr>
        <xdr:cNvSpPr txBox="1"/>
      </xdr:nvSpPr>
      <xdr:spPr>
        <a:xfrm>
          <a:off x="1196340" y="3832860"/>
          <a:ext cx="2301240" cy="434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E" sz="2000">
              <a:solidFill>
                <a:schemeClr val="accent2">
                  <a:lumMod val="50000"/>
                </a:schemeClr>
              </a:solidFill>
            </a:rPr>
            <a:t>Age</a:t>
          </a:r>
          <a:r>
            <a:rPr lang="en-AE" sz="2000" baseline="0">
              <a:solidFill>
                <a:schemeClr val="accent2">
                  <a:lumMod val="50000"/>
                </a:schemeClr>
              </a:solidFill>
            </a:rPr>
            <a:t> group</a:t>
          </a:r>
          <a:r>
            <a:rPr lang="en-AE" sz="2000">
              <a:solidFill>
                <a:schemeClr val="accent2">
                  <a:lumMod val="50000"/>
                </a:schemeClr>
              </a:solidFill>
            </a:rPr>
            <a:t> Analysis</a:t>
          </a:r>
        </a:p>
      </xdr:txBody>
    </xdr:sp>
    <xdr:clientData/>
  </xdr:twoCellAnchor>
  <xdr:oneCellAnchor>
    <xdr:from>
      <xdr:col>11</xdr:col>
      <xdr:colOff>288631</xdr:colOff>
      <xdr:row>11</xdr:row>
      <xdr:rowOff>68395</xdr:rowOff>
    </xdr:from>
    <xdr:ext cx="184731" cy="937629"/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4E9727DD-5CA5-00B9-FE27-192ECCE8CD9E}"/>
            </a:ext>
          </a:extLst>
        </xdr:cNvPr>
        <xdr:cNvSpPr/>
      </xdr:nvSpPr>
      <xdr:spPr>
        <a:xfrm>
          <a:off x="6994231" y="20800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12</xdr:col>
      <xdr:colOff>396240</xdr:colOff>
      <xdr:row>19</xdr:row>
      <xdr:rowOff>144404</xdr:rowOff>
    </xdr:from>
    <xdr:to>
      <xdr:col>18</xdr:col>
      <xdr:colOff>533011</xdr:colOff>
      <xdr:row>33</xdr:row>
      <xdr:rowOff>144780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B99172AC-70E5-4B51-AA38-2D3913C9B9CD}"/>
            </a:ext>
          </a:extLst>
        </xdr:cNvPr>
        <xdr:cNvSpPr/>
      </xdr:nvSpPr>
      <xdr:spPr>
        <a:xfrm>
          <a:off x="7711440" y="3619124"/>
          <a:ext cx="3794371" cy="2560696"/>
        </a:xfrm>
        <a:prstGeom prst="roundRect">
          <a:avLst/>
        </a:prstGeom>
        <a:gradFill flip="none" rotWithShape="1">
          <a:gsLst>
            <a:gs pos="0">
              <a:schemeClr val="tx2">
                <a:lumMod val="40000"/>
                <a:lumOff val="60000"/>
                <a:shade val="30000"/>
                <a:satMod val="115000"/>
              </a:schemeClr>
            </a:gs>
            <a:gs pos="50000">
              <a:schemeClr val="tx2">
                <a:lumMod val="40000"/>
                <a:lumOff val="60000"/>
                <a:shade val="67500"/>
                <a:satMod val="115000"/>
              </a:schemeClr>
            </a:gs>
            <a:gs pos="100000">
              <a:schemeClr val="tx2">
                <a:lumMod val="40000"/>
                <a:lumOff val="60000"/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13</xdr:col>
      <xdr:colOff>0</xdr:colOff>
      <xdr:row>21</xdr:row>
      <xdr:rowOff>160020</xdr:rowOff>
    </xdr:from>
    <xdr:to>
      <xdr:col>18</xdr:col>
      <xdr:colOff>251460</xdr:colOff>
      <xdr:row>33</xdr:row>
      <xdr:rowOff>152400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96D34BD8-A511-4910-B46A-877556FC7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11289</xdr:colOff>
      <xdr:row>20</xdr:row>
      <xdr:rowOff>21749</xdr:rowOff>
    </xdr:from>
    <xdr:to>
      <xdr:col>18</xdr:col>
      <xdr:colOff>327660</xdr:colOff>
      <xdr:row>22</xdr:row>
      <xdr:rowOff>13960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A795D32-0DCE-5D83-64B5-A74D468D7E86}"/>
            </a:ext>
          </a:extLst>
        </xdr:cNvPr>
        <xdr:cNvSpPr txBox="1"/>
      </xdr:nvSpPr>
      <xdr:spPr>
        <a:xfrm>
          <a:off x="8545689" y="3679349"/>
          <a:ext cx="2754771" cy="3579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E" sz="1800" baseline="0">
              <a:solidFill>
                <a:schemeClr val="accent2">
                  <a:lumMod val="50000"/>
                </a:schemeClr>
              </a:solidFill>
            </a:rPr>
            <a:t>Monthly  Trend Analysis</a:t>
          </a:r>
          <a:endParaRPr lang="en-AE" sz="1800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0.37017</cdr:x>
      <cdr:y>0.09167</cdr:y>
    </cdr:from>
    <cdr:to>
      <cdr:x>0.92818</cdr:x>
      <cdr:y>0.2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AD81178-51DC-27F3-1097-74AEB6435E07}"/>
            </a:ext>
          </a:extLst>
        </cdr:cNvPr>
        <cdr:cNvSpPr txBox="1"/>
      </cdr:nvSpPr>
      <cdr:spPr>
        <a:xfrm xmlns:a="http://schemas.openxmlformats.org/drawingml/2006/main">
          <a:off x="1531620" y="251460"/>
          <a:ext cx="2308860" cy="2971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AE" sz="1100" kern="1200"/>
        </a:p>
      </cdr:txBody>
    </cdr:sp>
  </cdr:relSizeAnchor>
  <cdr:relSizeAnchor xmlns:cdr="http://schemas.openxmlformats.org/drawingml/2006/chartDrawing">
    <cdr:from>
      <cdr:x>0.29282</cdr:x>
      <cdr:y>0</cdr:y>
    </cdr:from>
    <cdr:to>
      <cdr:x>0.87109</cdr:x>
      <cdr:y>0.14444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D1C4E8B-DBF0-4D71-7D85-5294C0530749}"/>
            </a:ext>
          </a:extLst>
        </cdr:cNvPr>
        <cdr:cNvSpPr txBox="1"/>
      </cdr:nvSpPr>
      <cdr:spPr>
        <a:xfrm xmlns:a="http://schemas.openxmlformats.org/drawingml/2006/main">
          <a:off x="1211580" y="0"/>
          <a:ext cx="2392680" cy="3962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AE" sz="2000" kern="1200">
              <a:solidFill>
                <a:schemeClr val="accent2">
                  <a:lumMod val="50000"/>
                </a:schemeClr>
              </a:solidFill>
            </a:rPr>
            <a:t>High Risk Medicine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95.628467476854" createdVersion="8" refreshedVersion="8" minRefreshableVersion="3" recordCount="300" xr:uid="{61E6898E-4CB8-4B78-B1EF-580149CDD4A3}">
  <cacheSource type="worksheet">
    <worksheetSource name="Table2"/>
  </cacheSource>
  <cacheFields count="12">
    <cacheField name="Patient_ID" numFmtId="0">
      <sharedItems/>
    </cacheField>
    <cacheField name="Age" numFmtId="0">
      <sharedItems containsSemiMixedTypes="0" containsString="0" containsNumber="1" containsInteger="1" minValue="18" maxValue="80" count="63">
        <n v="18"/>
        <n v="44"/>
        <n v="48"/>
        <n v="24"/>
        <n v="76"/>
        <n v="19"/>
        <n v="54"/>
        <n v="46"/>
        <n v="26"/>
        <n v="59"/>
        <n v="70"/>
        <n v="33"/>
        <n v="35"/>
        <n v="37"/>
        <n v="25"/>
        <n v="64"/>
        <n v="31"/>
        <n v="57"/>
        <n v="32"/>
        <n v="74"/>
        <n v="80"/>
        <n v="78"/>
        <n v="28"/>
        <n v="29"/>
        <n v="49"/>
        <n v="21"/>
        <n v="20"/>
        <n v="34"/>
        <n v="38"/>
        <n v="47"/>
        <n v="72"/>
        <n v="68"/>
        <n v="40"/>
        <n v="43"/>
        <n v="55"/>
        <n v="41"/>
        <n v="73"/>
        <n v="30"/>
        <n v="45"/>
        <n v="65"/>
        <n v="58"/>
        <n v="67"/>
        <n v="52"/>
        <n v="62"/>
        <n v="22"/>
        <n v="42"/>
        <n v="50"/>
        <n v="23"/>
        <n v="63"/>
        <n v="71"/>
        <n v="75"/>
        <n v="39"/>
        <n v="61"/>
        <n v="51"/>
        <n v="60"/>
        <n v="77"/>
        <n v="66"/>
        <n v="36"/>
        <n v="27"/>
        <n v="56"/>
        <n v="69"/>
        <n v="53"/>
        <n v="79"/>
      </sharedItems>
      <fieldGroup base="1">
        <rangePr startNum="18" endNum="80" groupInterval="10"/>
        <groupItems count="9">
          <s v="&lt;18"/>
          <s v="18-27"/>
          <s v="28-37"/>
          <s v="38-47"/>
          <s v="48-57"/>
          <s v="58-67"/>
          <s v="68-77"/>
          <s v="78-87"/>
          <s v="&gt;88"/>
        </groupItems>
      </fieldGroup>
    </cacheField>
    <cacheField name="Gender" numFmtId="0">
      <sharedItems count="2">
        <s v="Male"/>
        <s v="Female"/>
      </sharedItems>
    </cacheField>
    <cacheField name="Medication" numFmtId="0">
      <sharedItems count="8">
        <s v="Ciprofloxacin"/>
        <s v="Amlodipine"/>
        <s v="Ibuprofen"/>
        <s v="Metformin"/>
        <s v="Atorvastatin"/>
        <s v="Paracetamol"/>
        <s v="Amoxicillin"/>
        <s v="Azithromycin"/>
      </sharedItems>
    </cacheField>
    <cacheField name="Start_Date" numFmtId="164">
      <sharedItems containsSemiMixedTypes="0" containsNonDate="0" containsDate="1" containsString="0" minDate="2026-01-02T00:00:00" maxDate="2026-06-30T00:00:00" count="145">
        <d v="2026-02-04T00:00:00"/>
        <d v="2026-06-24T00:00:00"/>
        <d v="2026-05-30T00:00:00"/>
        <d v="2026-01-19T00:00:00"/>
        <d v="2026-03-11T00:00:00"/>
        <d v="2026-02-08T00:00:00"/>
        <d v="2026-02-09T00:00:00"/>
        <d v="2026-04-15T00:00:00"/>
        <d v="2026-01-24T00:00:00"/>
        <d v="2026-06-26T00:00:00"/>
        <d v="2026-05-23T00:00:00"/>
        <d v="2026-01-29T00:00:00"/>
        <d v="2026-03-19T00:00:00"/>
        <d v="2026-03-20T00:00:00"/>
        <d v="2026-01-14T00:00:00"/>
        <d v="2026-04-30T00:00:00"/>
        <d v="2026-03-17T00:00:00"/>
        <d v="2026-06-29T00:00:00"/>
        <d v="2026-04-07T00:00:00"/>
        <d v="2026-02-03T00:00:00"/>
        <d v="2026-02-13T00:00:00"/>
        <d v="2026-05-06T00:00:00"/>
        <d v="2026-03-16T00:00:00"/>
        <d v="2026-02-14T00:00:00"/>
        <d v="2026-06-17T00:00:00"/>
        <d v="2026-01-15T00:00:00"/>
        <d v="2026-06-02T00:00:00"/>
        <d v="2026-02-06T00:00:00"/>
        <d v="2026-01-25T00:00:00"/>
        <d v="2026-01-31T00:00:00"/>
        <d v="2026-06-09T00:00:00"/>
        <d v="2026-01-20T00:00:00"/>
        <d v="2026-03-01T00:00:00"/>
        <d v="2026-04-27T00:00:00"/>
        <d v="2026-02-18T00:00:00"/>
        <d v="2026-01-04T00:00:00"/>
        <d v="2026-02-22T00:00:00"/>
        <d v="2026-02-27T00:00:00"/>
        <d v="2026-06-20T00:00:00"/>
        <d v="2026-06-28T00:00:00"/>
        <d v="2026-04-18T00:00:00"/>
        <d v="2026-03-25T00:00:00"/>
        <d v="2026-04-20T00:00:00"/>
        <d v="2026-04-11T00:00:00"/>
        <d v="2026-01-17T00:00:00"/>
        <d v="2026-03-30T00:00:00"/>
        <d v="2026-04-23T00:00:00"/>
        <d v="2026-05-12T00:00:00"/>
        <d v="2026-06-04T00:00:00"/>
        <d v="2026-03-27T00:00:00"/>
        <d v="2026-01-30T00:00:00"/>
        <d v="2026-05-09T00:00:00"/>
        <d v="2026-04-13T00:00:00"/>
        <d v="2026-03-03T00:00:00"/>
        <d v="2026-01-12T00:00:00"/>
        <d v="2026-06-18T00:00:00"/>
        <d v="2026-02-28T00:00:00"/>
        <d v="2026-03-28T00:00:00"/>
        <d v="2026-04-17T00:00:00"/>
        <d v="2026-06-07T00:00:00"/>
        <d v="2026-05-15T00:00:00"/>
        <d v="2026-01-21T00:00:00"/>
        <d v="2026-04-14T00:00:00"/>
        <d v="2026-01-02T00:00:00"/>
        <d v="2026-01-18T00:00:00"/>
        <d v="2026-04-01T00:00:00"/>
        <d v="2026-04-21T00:00:00"/>
        <d v="2026-06-16T00:00:00"/>
        <d v="2026-06-03T00:00:00"/>
        <d v="2026-05-16T00:00:00"/>
        <d v="2026-03-24T00:00:00"/>
        <d v="2026-04-28T00:00:00"/>
        <d v="2026-05-25T00:00:00"/>
        <d v="2026-01-07T00:00:00"/>
        <d v="2026-06-23T00:00:00"/>
        <d v="2026-03-15T00:00:00"/>
        <d v="2026-03-14T00:00:00"/>
        <d v="2026-01-23T00:00:00"/>
        <d v="2026-06-15T00:00:00"/>
        <d v="2026-06-06T00:00:00"/>
        <d v="2026-05-17T00:00:00"/>
        <d v="2026-02-07T00:00:00"/>
        <d v="2026-03-06T00:00:00"/>
        <d v="2026-03-13T00:00:00"/>
        <d v="2026-05-19T00:00:00"/>
        <d v="2026-01-05T00:00:00"/>
        <d v="2026-06-05T00:00:00"/>
        <d v="2026-02-19T00:00:00"/>
        <d v="2026-05-26T00:00:00"/>
        <d v="2026-02-25T00:00:00"/>
        <d v="2026-03-31T00:00:00"/>
        <d v="2026-05-20T00:00:00"/>
        <d v="2026-05-04T00:00:00"/>
        <d v="2026-03-23T00:00:00"/>
        <d v="2026-02-17T00:00:00"/>
        <d v="2026-01-11T00:00:00"/>
        <d v="2026-02-01T00:00:00"/>
        <d v="2026-01-13T00:00:00"/>
        <d v="2026-01-26T00:00:00"/>
        <d v="2026-02-16T00:00:00"/>
        <d v="2026-02-20T00:00:00"/>
        <d v="2026-05-03T00:00:00"/>
        <d v="2026-02-11T00:00:00"/>
        <d v="2026-04-08T00:00:00"/>
        <d v="2026-02-02T00:00:00"/>
        <d v="2026-05-21T00:00:00"/>
        <d v="2026-03-21T00:00:00"/>
        <d v="2026-06-14T00:00:00"/>
        <d v="2026-05-24T00:00:00"/>
        <d v="2026-01-27T00:00:00"/>
        <d v="2026-04-03T00:00:00"/>
        <d v="2026-05-10T00:00:00"/>
        <d v="2026-02-15T00:00:00"/>
        <d v="2026-04-09T00:00:00"/>
        <d v="2026-02-10T00:00:00"/>
        <d v="2026-03-05T00:00:00"/>
        <d v="2026-01-28T00:00:00"/>
        <d v="2026-03-02T00:00:00"/>
        <d v="2026-01-22T00:00:00"/>
        <d v="2026-05-07T00:00:00"/>
        <d v="2026-01-09T00:00:00"/>
        <d v="2026-06-13T00:00:00"/>
        <d v="2026-02-05T00:00:00"/>
        <d v="2026-06-08T00:00:00"/>
        <d v="2026-05-01T00:00:00"/>
        <d v="2026-06-01T00:00:00"/>
        <d v="2026-05-05T00:00:00"/>
        <d v="2026-05-14T00:00:00"/>
        <d v="2026-04-12T00:00:00"/>
        <d v="2026-06-25T00:00:00"/>
        <d v="2026-04-24T00:00:00"/>
        <d v="2026-04-22T00:00:00"/>
        <d v="2026-04-26T00:00:00"/>
        <d v="2026-06-11T00:00:00"/>
        <d v="2026-03-07T00:00:00"/>
        <d v="2026-06-19T00:00:00"/>
        <d v="2026-06-22T00:00:00"/>
        <d v="2026-03-08T00:00:00"/>
        <d v="2026-04-02T00:00:00"/>
        <d v="2026-01-06T00:00:00"/>
        <d v="2026-04-06T00:00:00"/>
        <d v="2026-05-31T00:00:00"/>
        <d v="2026-05-13T00:00:00"/>
        <d v="2026-05-27T00:00:00"/>
        <d v="2026-02-12T00:00:00"/>
      </sharedItems>
      <fieldGroup par="11"/>
    </cacheField>
    <cacheField name="Symptom" numFmtId="0">
      <sharedItems count="9">
        <s v="Rash"/>
        <s v="None"/>
        <s v="Itching"/>
        <s v="Dizziness"/>
        <s v="Vomiting"/>
        <s v="Headache"/>
        <s v="Fatigue"/>
        <s v="Diarrhea"/>
        <s v="Nausea"/>
      </sharedItems>
    </cacheField>
    <cacheField name="Severity" numFmtId="0">
      <sharedItems count="4">
        <s v="Moderate"/>
        <s v="None"/>
        <s v="Mild"/>
        <s v="Severe"/>
      </sharedItems>
    </cacheField>
    <cacheField name="ADR_Reported" numFmtId="0">
      <sharedItems/>
    </cacheField>
    <cacheField name="Days_to_Reaction" numFmtId="0">
      <sharedItems containsString="0" containsBlank="1" containsNumber="1" containsInteger="1" minValue="1" maxValue="14" count="15">
        <n v="12"/>
        <m/>
        <n v="11"/>
        <n v="8"/>
        <n v="14"/>
        <n v="2"/>
        <n v="13"/>
        <n v="4"/>
        <n v="3"/>
        <n v="6"/>
        <n v="1"/>
        <n v="7"/>
        <n v="9"/>
        <n v="5"/>
        <n v="10"/>
      </sharedItems>
    </cacheField>
    <cacheField name="Outcome" numFmtId="0">
      <sharedItems/>
    </cacheField>
    <cacheField name="Days (Start_Date)" numFmtId="0" databaseField="0">
      <fieldGroup base="4">
        <rangePr groupBy="days" startDate="2026-01-02T00:00:00" endDate="2026-06-30T00:00:00"/>
        <groupItems count="368">
          <s v="&lt;02/01/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/06/2026"/>
        </groupItems>
      </fieldGroup>
    </cacheField>
    <cacheField name="Months (Start_Date)" numFmtId="0" databaseField="0">
      <fieldGroup base="4">
        <rangePr groupBy="months" startDate="2026-01-02T00:00:00" endDate="2026-06-30T00:00:00"/>
        <groupItems count="14">
          <s v="&lt;02/0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0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x v="0"/>
    <x v="0"/>
    <x v="0"/>
    <x v="0"/>
    <x v="0"/>
    <s v="Yes"/>
    <x v="0"/>
    <s v="Improving"/>
  </r>
  <r>
    <s v="P002"/>
    <x v="1"/>
    <x v="0"/>
    <x v="1"/>
    <x v="1"/>
    <x v="1"/>
    <x v="1"/>
    <s v="No"/>
    <x v="1"/>
    <s v="No reaction"/>
  </r>
  <r>
    <s v="P003"/>
    <x v="2"/>
    <x v="0"/>
    <x v="2"/>
    <x v="2"/>
    <x v="1"/>
    <x v="1"/>
    <s v="No"/>
    <x v="1"/>
    <s v="No reaction"/>
  </r>
  <r>
    <s v="P004"/>
    <x v="3"/>
    <x v="1"/>
    <x v="1"/>
    <x v="3"/>
    <x v="1"/>
    <x v="1"/>
    <s v="No"/>
    <x v="1"/>
    <s v="No reaction"/>
  </r>
  <r>
    <s v="P005"/>
    <x v="4"/>
    <x v="0"/>
    <x v="3"/>
    <x v="4"/>
    <x v="1"/>
    <x v="1"/>
    <s v="No"/>
    <x v="1"/>
    <s v="No reaction"/>
  </r>
  <r>
    <s v="P006"/>
    <x v="5"/>
    <x v="0"/>
    <x v="4"/>
    <x v="5"/>
    <x v="1"/>
    <x v="1"/>
    <s v="No"/>
    <x v="1"/>
    <s v="No reaction"/>
  </r>
  <r>
    <s v="P007"/>
    <x v="6"/>
    <x v="1"/>
    <x v="1"/>
    <x v="6"/>
    <x v="1"/>
    <x v="1"/>
    <s v="No"/>
    <x v="1"/>
    <s v="No reaction"/>
  </r>
  <r>
    <s v="P008"/>
    <x v="7"/>
    <x v="1"/>
    <x v="4"/>
    <x v="7"/>
    <x v="1"/>
    <x v="1"/>
    <s v="No"/>
    <x v="1"/>
    <s v="No reaction"/>
  </r>
  <r>
    <s v="P009"/>
    <x v="8"/>
    <x v="1"/>
    <x v="5"/>
    <x v="8"/>
    <x v="1"/>
    <x v="1"/>
    <s v="No"/>
    <x v="1"/>
    <s v="No reaction"/>
  </r>
  <r>
    <s v="P010"/>
    <x v="9"/>
    <x v="0"/>
    <x v="6"/>
    <x v="9"/>
    <x v="2"/>
    <x v="2"/>
    <s v="Yes"/>
    <x v="2"/>
    <s v="Improving"/>
  </r>
  <r>
    <s v="P011"/>
    <x v="10"/>
    <x v="0"/>
    <x v="7"/>
    <x v="10"/>
    <x v="1"/>
    <x v="1"/>
    <s v="No"/>
    <x v="1"/>
    <s v="No reaction"/>
  </r>
  <r>
    <s v="P012"/>
    <x v="11"/>
    <x v="0"/>
    <x v="2"/>
    <x v="11"/>
    <x v="3"/>
    <x v="0"/>
    <s v="Yes"/>
    <x v="3"/>
    <s v="Referred"/>
  </r>
  <r>
    <s v="P013"/>
    <x v="12"/>
    <x v="1"/>
    <x v="7"/>
    <x v="12"/>
    <x v="1"/>
    <x v="1"/>
    <s v="No"/>
    <x v="1"/>
    <s v="No reaction"/>
  </r>
  <r>
    <s v="P014"/>
    <x v="13"/>
    <x v="0"/>
    <x v="2"/>
    <x v="13"/>
    <x v="4"/>
    <x v="0"/>
    <s v="Yes"/>
    <x v="4"/>
    <s v="Referred"/>
  </r>
  <r>
    <s v="P015"/>
    <x v="14"/>
    <x v="1"/>
    <x v="3"/>
    <x v="10"/>
    <x v="1"/>
    <x v="1"/>
    <s v="No"/>
    <x v="1"/>
    <s v="No reaction"/>
  </r>
  <r>
    <s v="P016"/>
    <x v="15"/>
    <x v="1"/>
    <x v="6"/>
    <x v="8"/>
    <x v="4"/>
    <x v="2"/>
    <s v="Yes"/>
    <x v="5"/>
    <s v="Recovered"/>
  </r>
  <r>
    <s v="P017"/>
    <x v="16"/>
    <x v="1"/>
    <x v="0"/>
    <x v="3"/>
    <x v="1"/>
    <x v="1"/>
    <s v="No"/>
    <x v="1"/>
    <s v="No reaction"/>
  </r>
  <r>
    <s v="P018"/>
    <x v="1"/>
    <x v="1"/>
    <x v="6"/>
    <x v="14"/>
    <x v="0"/>
    <x v="2"/>
    <s v="Yes"/>
    <x v="0"/>
    <s v="Improving"/>
  </r>
  <r>
    <s v="P019"/>
    <x v="13"/>
    <x v="0"/>
    <x v="6"/>
    <x v="15"/>
    <x v="5"/>
    <x v="2"/>
    <s v="Yes"/>
    <x v="0"/>
    <s v="Referred"/>
  </r>
  <r>
    <s v="P020"/>
    <x v="14"/>
    <x v="1"/>
    <x v="0"/>
    <x v="16"/>
    <x v="1"/>
    <x v="1"/>
    <s v="No"/>
    <x v="1"/>
    <s v="No reaction"/>
  </r>
  <r>
    <s v="P021"/>
    <x v="1"/>
    <x v="1"/>
    <x v="6"/>
    <x v="17"/>
    <x v="1"/>
    <x v="1"/>
    <s v="No"/>
    <x v="1"/>
    <s v="No reaction"/>
  </r>
  <r>
    <s v="P022"/>
    <x v="8"/>
    <x v="0"/>
    <x v="3"/>
    <x v="18"/>
    <x v="6"/>
    <x v="2"/>
    <s v="Yes"/>
    <x v="3"/>
    <s v="Referred"/>
  </r>
  <r>
    <s v="P023"/>
    <x v="17"/>
    <x v="1"/>
    <x v="4"/>
    <x v="19"/>
    <x v="1"/>
    <x v="1"/>
    <s v="No"/>
    <x v="1"/>
    <s v="No reaction"/>
  </r>
  <r>
    <s v="P024"/>
    <x v="3"/>
    <x v="0"/>
    <x v="4"/>
    <x v="3"/>
    <x v="1"/>
    <x v="1"/>
    <s v="No"/>
    <x v="1"/>
    <s v="No reaction"/>
  </r>
  <r>
    <s v="P025"/>
    <x v="18"/>
    <x v="0"/>
    <x v="7"/>
    <x v="20"/>
    <x v="1"/>
    <x v="1"/>
    <s v="No"/>
    <x v="1"/>
    <s v="No reaction"/>
  </r>
  <r>
    <s v="P026"/>
    <x v="17"/>
    <x v="0"/>
    <x v="3"/>
    <x v="21"/>
    <x v="5"/>
    <x v="2"/>
    <s v="Yes"/>
    <x v="6"/>
    <s v="Referred"/>
  </r>
  <r>
    <s v="P027"/>
    <x v="19"/>
    <x v="0"/>
    <x v="6"/>
    <x v="22"/>
    <x v="6"/>
    <x v="2"/>
    <s v="Yes"/>
    <x v="7"/>
    <s v="Referred"/>
  </r>
  <r>
    <s v="P028"/>
    <x v="20"/>
    <x v="0"/>
    <x v="5"/>
    <x v="22"/>
    <x v="1"/>
    <x v="1"/>
    <s v="No"/>
    <x v="1"/>
    <s v="No reaction"/>
  </r>
  <r>
    <s v="P029"/>
    <x v="21"/>
    <x v="1"/>
    <x v="6"/>
    <x v="23"/>
    <x v="4"/>
    <x v="2"/>
    <s v="Yes"/>
    <x v="0"/>
    <s v="Referred"/>
  </r>
  <r>
    <s v="P030"/>
    <x v="10"/>
    <x v="1"/>
    <x v="6"/>
    <x v="24"/>
    <x v="7"/>
    <x v="0"/>
    <s v="Yes"/>
    <x v="0"/>
    <s v="Recovered"/>
  </r>
  <r>
    <s v="P031"/>
    <x v="16"/>
    <x v="1"/>
    <x v="2"/>
    <x v="25"/>
    <x v="2"/>
    <x v="2"/>
    <s v="Yes"/>
    <x v="5"/>
    <s v="Improving"/>
  </r>
  <r>
    <s v="P032"/>
    <x v="22"/>
    <x v="0"/>
    <x v="2"/>
    <x v="26"/>
    <x v="1"/>
    <x v="1"/>
    <s v="No"/>
    <x v="1"/>
    <s v="No reaction"/>
  </r>
  <r>
    <s v="P033"/>
    <x v="23"/>
    <x v="1"/>
    <x v="3"/>
    <x v="27"/>
    <x v="3"/>
    <x v="2"/>
    <s v="Yes"/>
    <x v="8"/>
    <s v="Recovered"/>
  </r>
  <r>
    <s v="P034"/>
    <x v="24"/>
    <x v="0"/>
    <x v="4"/>
    <x v="28"/>
    <x v="7"/>
    <x v="3"/>
    <s v="Yes"/>
    <x v="9"/>
    <s v="Referred"/>
  </r>
  <r>
    <s v="P035"/>
    <x v="25"/>
    <x v="1"/>
    <x v="4"/>
    <x v="29"/>
    <x v="1"/>
    <x v="1"/>
    <s v="No"/>
    <x v="1"/>
    <s v="No reaction"/>
  </r>
  <r>
    <s v="P036"/>
    <x v="26"/>
    <x v="0"/>
    <x v="1"/>
    <x v="30"/>
    <x v="5"/>
    <x v="0"/>
    <s v="Yes"/>
    <x v="5"/>
    <s v="Recovered"/>
  </r>
  <r>
    <s v="P037"/>
    <x v="20"/>
    <x v="0"/>
    <x v="2"/>
    <x v="31"/>
    <x v="1"/>
    <x v="1"/>
    <s v="No"/>
    <x v="1"/>
    <s v="No reaction"/>
  </r>
  <r>
    <s v="P038"/>
    <x v="27"/>
    <x v="0"/>
    <x v="3"/>
    <x v="32"/>
    <x v="5"/>
    <x v="2"/>
    <s v="Yes"/>
    <x v="3"/>
    <s v="Recovered"/>
  </r>
  <r>
    <s v="P039"/>
    <x v="24"/>
    <x v="0"/>
    <x v="4"/>
    <x v="33"/>
    <x v="1"/>
    <x v="1"/>
    <s v="No"/>
    <x v="1"/>
    <s v="No reaction"/>
  </r>
  <r>
    <s v="P040"/>
    <x v="28"/>
    <x v="1"/>
    <x v="0"/>
    <x v="28"/>
    <x v="7"/>
    <x v="2"/>
    <s v="Yes"/>
    <x v="2"/>
    <s v="Recovered"/>
  </r>
  <r>
    <s v="P041"/>
    <x v="10"/>
    <x v="1"/>
    <x v="5"/>
    <x v="34"/>
    <x v="3"/>
    <x v="2"/>
    <s v="Yes"/>
    <x v="7"/>
    <s v="Recovered"/>
  </r>
  <r>
    <s v="P042"/>
    <x v="28"/>
    <x v="1"/>
    <x v="2"/>
    <x v="35"/>
    <x v="1"/>
    <x v="1"/>
    <s v="No"/>
    <x v="1"/>
    <s v="No reaction"/>
  </r>
  <r>
    <s v="P043"/>
    <x v="29"/>
    <x v="0"/>
    <x v="2"/>
    <x v="36"/>
    <x v="4"/>
    <x v="0"/>
    <s v="Yes"/>
    <x v="2"/>
    <s v="Improving"/>
  </r>
  <r>
    <s v="P044"/>
    <x v="1"/>
    <x v="0"/>
    <x v="6"/>
    <x v="8"/>
    <x v="1"/>
    <x v="1"/>
    <s v="No"/>
    <x v="1"/>
    <s v="No reaction"/>
  </r>
  <r>
    <s v="P045"/>
    <x v="30"/>
    <x v="0"/>
    <x v="1"/>
    <x v="37"/>
    <x v="1"/>
    <x v="1"/>
    <s v="No"/>
    <x v="1"/>
    <s v="No reaction"/>
  </r>
  <r>
    <s v="P046"/>
    <x v="2"/>
    <x v="1"/>
    <x v="2"/>
    <x v="7"/>
    <x v="1"/>
    <x v="1"/>
    <s v="No"/>
    <x v="1"/>
    <s v="No reaction"/>
  </r>
  <r>
    <s v="P047"/>
    <x v="31"/>
    <x v="0"/>
    <x v="5"/>
    <x v="38"/>
    <x v="1"/>
    <x v="1"/>
    <s v="No"/>
    <x v="1"/>
    <s v="No reaction"/>
  </r>
  <r>
    <s v="P048"/>
    <x v="1"/>
    <x v="1"/>
    <x v="6"/>
    <x v="12"/>
    <x v="1"/>
    <x v="1"/>
    <s v="No"/>
    <x v="1"/>
    <s v="No reaction"/>
  </r>
  <r>
    <s v="P049"/>
    <x v="32"/>
    <x v="0"/>
    <x v="4"/>
    <x v="39"/>
    <x v="7"/>
    <x v="2"/>
    <s v="Yes"/>
    <x v="10"/>
    <s v="Recovered"/>
  </r>
  <r>
    <s v="P050"/>
    <x v="2"/>
    <x v="0"/>
    <x v="2"/>
    <x v="40"/>
    <x v="8"/>
    <x v="2"/>
    <s v="Yes"/>
    <x v="6"/>
    <s v="Recovered"/>
  </r>
  <r>
    <s v="P051"/>
    <x v="33"/>
    <x v="1"/>
    <x v="2"/>
    <x v="41"/>
    <x v="3"/>
    <x v="0"/>
    <s v="Yes"/>
    <x v="11"/>
    <s v="Improving"/>
  </r>
  <r>
    <s v="P052"/>
    <x v="34"/>
    <x v="1"/>
    <x v="4"/>
    <x v="41"/>
    <x v="1"/>
    <x v="1"/>
    <s v="No"/>
    <x v="1"/>
    <s v="No reaction"/>
  </r>
  <r>
    <s v="P053"/>
    <x v="5"/>
    <x v="1"/>
    <x v="3"/>
    <x v="42"/>
    <x v="1"/>
    <x v="1"/>
    <s v="No"/>
    <x v="1"/>
    <s v="No reaction"/>
  </r>
  <r>
    <s v="P054"/>
    <x v="35"/>
    <x v="1"/>
    <x v="5"/>
    <x v="43"/>
    <x v="1"/>
    <x v="1"/>
    <s v="No"/>
    <x v="1"/>
    <s v="No reaction"/>
  </r>
  <r>
    <s v="P055"/>
    <x v="11"/>
    <x v="0"/>
    <x v="5"/>
    <x v="29"/>
    <x v="1"/>
    <x v="1"/>
    <s v="No"/>
    <x v="1"/>
    <s v="No reaction"/>
  </r>
  <r>
    <s v="P056"/>
    <x v="0"/>
    <x v="1"/>
    <x v="1"/>
    <x v="32"/>
    <x v="1"/>
    <x v="1"/>
    <s v="No"/>
    <x v="1"/>
    <s v="No reaction"/>
  </r>
  <r>
    <s v="P057"/>
    <x v="30"/>
    <x v="0"/>
    <x v="7"/>
    <x v="8"/>
    <x v="1"/>
    <x v="1"/>
    <s v="No"/>
    <x v="1"/>
    <s v="No reaction"/>
  </r>
  <r>
    <s v="P058"/>
    <x v="36"/>
    <x v="0"/>
    <x v="2"/>
    <x v="44"/>
    <x v="0"/>
    <x v="2"/>
    <s v="Yes"/>
    <x v="3"/>
    <s v="Improving"/>
  </r>
  <r>
    <s v="P059"/>
    <x v="37"/>
    <x v="0"/>
    <x v="6"/>
    <x v="45"/>
    <x v="4"/>
    <x v="2"/>
    <s v="Yes"/>
    <x v="0"/>
    <s v="Recovered"/>
  </r>
  <r>
    <s v="P060"/>
    <x v="17"/>
    <x v="0"/>
    <x v="3"/>
    <x v="46"/>
    <x v="1"/>
    <x v="1"/>
    <s v="No"/>
    <x v="1"/>
    <s v="No reaction"/>
  </r>
  <r>
    <s v="P061"/>
    <x v="35"/>
    <x v="0"/>
    <x v="2"/>
    <x v="47"/>
    <x v="5"/>
    <x v="2"/>
    <s v="Yes"/>
    <x v="8"/>
    <s v="Recovered"/>
  </r>
  <r>
    <s v="P062"/>
    <x v="38"/>
    <x v="0"/>
    <x v="2"/>
    <x v="48"/>
    <x v="1"/>
    <x v="1"/>
    <s v="No"/>
    <x v="1"/>
    <s v="No reaction"/>
  </r>
  <r>
    <s v="P063"/>
    <x v="4"/>
    <x v="1"/>
    <x v="7"/>
    <x v="49"/>
    <x v="0"/>
    <x v="2"/>
    <s v="Yes"/>
    <x v="3"/>
    <s v="Referred"/>
  </r>
  <r>
    <s v="P064"/>
    <x v="2"/>
    <x v="0"/>
    <x v="1"/>
    <x v="50"/>
    <x v="1"/>
    <x v="1"/>
    <s v="No"/>
    <x v="1"/>
    <s v="No reaction"/>
  </r>
  <r>
    <s v="P065"/>
    <x v="3"/>
    <x v="0"/>
    <x v="7"/>
    <x v="51"/>
    <x v="5"/>
    <x v="0"/>
    <s v="Yes"/>
    <x v="5"/>
    <s v="Improving"/>
  </r>
  <r>
    <s v="P066"/>
    <x v="39"/>
    <x v="0"/>
    <x v="3"/>
    <x v="4"/>
    <x v="8"/>
    <x v="2"/>
    <s v="Yes"/>
    <x v="7"/>
    <s v="Referred"/>
  </r>
  <r>
    <s v="P067"/>
    <x v="33"/>
    <x v="1"/>
    <x v="7"/>
    <x v="52"/>
    <x v="1"/>
    <x v="1"/>
    <s v="No"/>
    <x v="1"/>
    <s v="No reaction"/>
  </r>
  <r>
    <s v="P068"/>
    <x v="36"/>
    <x v="0"/>
    <x v="4"/>
    <x v="14"/>
    <x v="8"/>
    <x v="2"/>
    <s v="Yes"/>
    <x v="10"/>
    <s v="Referred"/>
  </r>
  <r>
    <s v="P069"/>
    <x v="24"/>
    <x v="0"/>
    <x v="1"/>
    <x v="53"/>
    <x v="1"/>
    <x v="1"/>
    <s v="No"/>
    <x v="1"/>
    <s v="No reaction"/>
  </r>
  <r>
    <s v="P070"/>
    <x v="40"/>
    <x v="0"/>
    <x v="6"/>
    <x v="47"/>
    <x v="5"/>
    <x v="2"/>
    <s v="Yes"/>
    <x v="7"/>
    <s v="Referred"/>
  </r>
  <r>
    <s v="P071"/>
    <x v="40"/>
    <x v="0"/>
    <x v="6"/>
    <x v="54"/>
    <x v="8"/>
    <x v="2"/>
    <s v="Yes"/>
    <x v="11"/>
    <s v="Improving"/>
  </r>
  <r>
    <s v="P072"/>
    <x v="41"/>
    <x v="1"/>
    <x v="6"/>
    <x v="55"/>
    <x v="1"/>
    <x v="1"/>
    <s v="No"/>
    <x v="1"/>
    <s v="No reaction"/>
  </r>
  <r>
    <s v="P073"/>
    <x v="22"/>
    <x v="1"/>
    <x v="6"/>
    <x v="56"/>
    <x v="1"/>
    <x v="1"/>
    <s v="No"/>
    <x v="1"/>
    <s v="No reaction"/>
  </r>
  <r>
    <s v="P074"/>
    <x v="42"/>
    <x v="1"/>
    <x v="0"/>
    <x v="57"/>
    <x v="6"/>
    <x v="2"/>
    <s v="Yes"/>
    <x v="12"/>
    <s v="Referred"/>
  </r>
  <r>
    <s v="P075"/>
    <x v="43"/>
    <x v="0"/>
    <x v="7"/>
    <x v="58"/>
    <x v="5"/>
    <x v="2"/>
    <s v="Yes"/>
    <x v="13"/>
    <s v="Referred"/>
  </r>
  <r>
    <s v="P076"/>
    <x v="3"/>
    <x v="1"/>
    <x v="4"/>
    <x v="28"/>
    <x v="1"/>
    <x v="1"/>
    <s v="No"/>
    <x v="1"/>
    <s v="No reaction"/>
  </r>
  <r>
    <s v="P077"/>
    <x v="44"/>
    <x v="0"/>
    <x v="4"/>
    <x v="59"/>
    <x v="1"/>
    <x v="1"/>
    <s v="No"/>
    <x v="1"/>
    <s v="No reaction"/>
  </r>
  <r>
    <s v="P078"/>
    <x v="14"/>
    <x v="1"/>
    <x v="0"/>
    <x v="60"/>
    <x v="1"/>
    <x v="1"/>
    <s v="No"/>
    <x v="1"/>
    <s v="No reaction"/>
  </r>
  <r>
    <s v="P079"/>
    <x v="7"/>
    <x v="0"/>
    <x v="6"/>
    <x v="36"/>
    <x v="1"/>
    <x v="1"/>
    <s v="No"/>
    <x v="1"/>
    <s v="No reaction"/>
  </r>
  <r>
    <s v="P080"/>
    <x v="45"/>
    <x v="0"/>
    <x v="0"/>
    <x v="61"/>
    <x v="2"/>
    <x v="0"/>
    <s v="Yes"/>
    <x v="2"/>
    <s v="Referred"/>
  </r>
  <r>
    <s v="P081"/>
    <x v="35"/>
    <x v="1"/>
    <x v="5"/>
    <x v="62"/>
    <x v="6"/>
    <x v="2"/>
    <s v="Yes"/>
    <x v="5"/>
    <s v="Referred"/>
  </r>
  <r>
    <s v="P082"/>
    <x v="15"/>
    <x v="0"/>
    <x v="2"/>
    <x v="63"/>
    <x v="1"/>
    <x v="1"/>
    <s v="No"/>
    <x v="1"/>
    <s v="No reaction"/>
  </r>
  <r>
    <s v="P083"/>
    <x v="23"/>
    <x v="1"/>
    <x v="7"/>
    <x v="64"/>
    <x v="1"/>
    <x v="1"/>
    <s v="No"/>
    <x v="1"/>
    <s v="No reaction"/>
  </r>
  <r>
    <s v="P084"/>
    <x v="1"/>
    <x v="1"/>
    <x v="1"/>
    <x v="46"/>
    <x v="5"/>
    <x v="0"/>
    <s v="Yes"/>
    <x v="4"/>
    <s v="Recovered"/>
  </r>
  <r>
    <s v="P085"/>
    <x v="7"/>
    <x v="1"/>
    <x v="0"/>
    <x v="65"/>
    <x v="1"/>
    <x v="1"/>
    <s v="No"/>
    <x v="1"/>
    <s v="No reaction"/>
  </r>
  <r>
    <s v="P086"/>
    <x v="18"/>
    <x v="1"/>
    <x v="7"/>
    <x v="66"/>
    <x v="6"/>
    <x v="2"/>
    <s v="Yes"/>
    <x v="4"/>
    <s v="Recovered"/>
  </r>
  <r>
    <s v="P087"/>
    <x v="36"/>
    <x v="1"/>
    <x v="1"/>
    <x v="67"/>
    <x v="1"/>
    <x v="1"/>
    <s v="No"/>
    <x v="1"/>
    <s v="No reaction"/>
  </r>
  <r>
    <s v="P088"/>
    <x v="32"/>
    <x v="0"/>
    <x v="4"/>
    <x v="68"/>
    <x v="1"/>
    <x v="1"/>
    <s v="No"/>
    <x v="1"/>
    <s v="No reaction"/>
  </r>
  <r>
    <s v="P089"/>
    <x v="16"/>
    <x v="1"/>
    <x v="4"/>
    <x v="69"/>
    <x v="1"/>
    <x v="1"/>
    <s v="No"/>
    <x v="1"/>
    <s v="No reaction"/>
  </r>
  <r>
    <s v="P090"/>
    <x v="21"/>
    <x v="1"/>
    <x v="6"/>
    <x v="70"/>
    <x v="1"/>
    <x v="1"/>
    <s v="No"/>
    <x v="1"/>
    <s v="No reaction"/>
  </r>
  <r>
    <s v="P091"/>
    <x v="46"/>
    <x v="0"/>
    <x v="5"/>
    <x v="44"/>
    <x v="1"/>
    <x v="1"/>
    <s v="No"/>
    <x v="1"/>
    <s v="No reaction"/>
  </r>
  <r>
    <s v="P092"/>
    <x v="18"/>
    <x v="0"/>
    <x v="6"/>
    <x v="18"/>
    <x v="8"/>
    <x v="2"/>
    <s v="Yes"/>
    <x v="10"/>
    <s v="Recovered"/>
  </r>
  <r>
    <s v="P093"/>
    <x v="42"/>
    <x v="1"/>
    <x v="4"/>
    <x v="71"/>
    <x v="5"/>
    <x v="2"/>
    <s v="Yes"/>
    <x v="3"/>
    <s v="Improving"/>
  </r>
  <r>
    <s v="P094"/>
    <x v="12"/>
    <x v="1"/>
    <x v="5"/>
    <x v="72"/>
    <x v="6"/>
    <x v="2"/>
    <s v="Yes"/>
    <x v="6"/>
    <s v="Improving"/>
  </r>
  <r>
    <s v="P095"/>
    <x v="3"/>
    <x v="1"/>
    <x v="2"/>
    <x v="73"/>
    <x v="0"/>
    <x v="0"/>
    <s v="Yes"/>
    <x v="0"/>
    <s v="Recovered"/>
  </r>
  <r>
    <s v="P096"/>
    <x v="33"/>
    <x v="0"/>
    <x v="0"/>
    <x v="40"/>
    <x v="5"/>
    <x v="2"/>
    <s v="Yes"/>
    <x v="11"/>
    <s v="Improving"/>
  </r>
  <r>
    <s v="P097"/>
    <x v="1"/>
    <x v="0"/>
    <x v="2"/>
    <x v="74"/>
    <x v="0"/>
    <x v="0"/>
    <s v="Yes"/>
    <x v="7"/>
    <s v="Recovered"/>
  </r>
  <r>
    <s v="P098"/>
    <x v="16"/>
    <x v="1"/>
    <x v="6"/>
    <x v="75"/>
    <x v="8"/>
    <x v="2"/>
    <s v="Yes"/>
    <x v="14"/>
    <s v="Improving"/>
  </r>
  <r>
    <s v="P099"/>
    <x v="47"/>
    <x v="1"/>
    <x v="6"/>
    <x v="36"/>
    <x v="4"/>
    <x v="2"/>
    <s v="Yes"/>
    <x v="12"/>
    <s v="Improving"/>
  </r>
  <r>
    <s v="P100"/>
    <x v="7"/>
    <x v="0"/>
    <x v="6"/>
    <x v="76"/>
    <x v="8"/>
    <x v="2"/>
    <s v="Yes"/>
    <x v="5"/>
    <s v="Improving"/>
  </r>
  <r>
    <s v="P101"/>
    <x v="45"/>
    <x v="1"/>
    <x v="5"/>
    <x v="77"/>
    <x v="1"/>
    <x v="1"/>
    <s v="No"/>
    <x v="1"/>
    <s v="No reaction"/>
  </r>
  <r>
    <s v="P102"/>
    <x v="48"/>
    <x v="1"/>
    <x v="0"/>
    <x v="5"/>
    <x v="5"/>
    <x v="0"/>
    <s v="Yes"/>
    <x v="5"/>
    <s v="Referred"/>
  </r>
  <r>
    <s v="P103"/>
    <x v="49"/>
    <x v="0"/>
    <x v="5"/>
    <x v="66"/>
    <x v="4"/>
    <x v="0"/>
    <s v="Yes"/>
    <x v="3"/>
    <s v="Referred"/>
  </r>
  <r>
    <s v="P104"/>
    <x v="50"/>
    <x v="0"/>
    <x v="1"/>
    <x v="78"/>
    <x v="0"/>
    <x v="3"/>
    <s v="Yes"/>
    <x v="13"/>
    <s v="Improving"/>
  </r>
  <r>
    <s v="P105"/>
    <x v="39"/>
    <x v="1"/>
    <x v="2"/>
    <x v="79"/>
    <x v="1"/>
    <x v="1"/>
    <s v="No"/>
    <x v="1"/>
    <s v="No reaction"/>
  </r>
  <r>
    <s v="P106"/>
    <x v="18"/>
    <x v="0"/>
    <x v="3"/>
    <x v="80"/>
    <x v="1"/>
    <x v="1"/>
    <s v="No"/>
    <x v="1"/>
    <s v="No reaction"/>
  </r>
  <r>
    <s v="P107"/>
    <x v="11"/>
    <x v="1"/>
    <x v="1"/>
    <x v="63"/>
    <x v="1"/>
    <x v="1"/>
    <s v="No"/>
    <x v="1"/>
    <s v="No reaction"/>
  </r>
  <r>
    <s v="P108"/>
    <x v="3"/>
    <x v="0"/>
    <x v="1"/>
    <x v="81"/>
    <x v="1"/>
    <x v="1"/>
    <s v="No"/>
    <x v="1"/>
    <s v="No reaction"/>
  </r>
  <r>
    <s v="P109"/>
    <x v="9"/>
    <x v="0"/>
    <x v="4"/>
    <x v="82"/>
    <x v="1"/>
    <x v="1"/>
    <s v="No"/>
    <x v="1"/>
    <s v="No reaction"/>
  </r>
  <r>
    <s v="P110"/>
    <x v="42"/>
    <x v="1"/>
    <x v="3"/>
    <x v="83"/>
    <x v="1"/>
    <x v="1"/>
    <s v="No"/>
    <x v="1"/>
    <s v="No reaction"/>
  </r>
  <r>
    <s v="P111"/>
    <x v="2"/>
    <x v="0"/>
    <x v="3"/>
    <x v="84"/>
    <x v="1"/>
    <x v="1"/>
    <s v="No"/>
    <x v="1"/>
    <s v="No reaction"/>
  </r>
  <r>
    <s v="P112"/>
    <x v="27"/>
    <x v="1"/>
    <x v="2"/>
    <x v="85"/>
    <x v="3"/>
    <x v="0"/>
    <s v="Yes"/>
    <x v="12"/>
    <s v="Referred"/>
  </r>
  <r>
    <s v="P113"/>
    <x v="38"/>
    <x v="0"/>
    <x v="2"/>
    <x v="21"/>
    <x v="1"/>
    <x v="1"/>
    <s v="No"/>
    <x v="1"/>
    <s v="No reaction"/>
  </r>
  <r>
    <s v="P114"/>
    <x v="51"/>
    <x v="0"/>
    <x v="1"/>
    <x v="86"/>
    <x v="1"/>
    <x v="1"/>
    <s v="No"/>
    <x v="1"/>
    <s v="No reaction"/>
  </r>
  <r>
    <s v="P115"/>
    <x v="52"/>
    <x v="0"/>
    <x v="2"/>
    <x v="87"/>
    <x v="1"/>
    <x v="1"/>
    <s v="No"/>
    <x v="1"/>
    <s v="No reaction"/>
  </r>
  <r>
    <s v="P116"/>
    <x v="9"/>
    <x v="0"/>
    <x v="6"/>
    <x v="88"/>
    <x v="4"/>
    <x v="2"/>
    <s v="Yes"/>
    <x v="0"/>
    <s v="Improving"/>
  </r>
  <r>
    <s v="P117"/>
    <x v="18"/>
    <x v="1"/>
    <x v="0"/>
    <x v="89"/>
    <x v="1"/>
    <x v="1"/>
    <s v="No"/>
    <x v="1"/>
    <s v="No reaction"/>
  </r>
  <r>
    <s v="P118"/>
    <x v="49"/>
    <x v="1"/>
    <x v="0"/>
    <x v="90"/>
    <x v="1"/>
    <x v="1"/>
    <s v="No"/>
    <x v="1"/>
    <s v="No reaction"/>
  </r>
  <r>
    <s v="P119"/>
    <x v="28"/>
    <x v="0"/>
    <x v="3"/>
    <x v="91"/>
    <x v="1"/>
    <x v="1"/>
    <s v="No"/>
    <x v="1"/>
    <s v="No reaction"/>
  </r>
  <r>
    <s v="P120"/>
    <x v="28"/>
    <x v="0"/>
    <x v="7"/>
    <x v="11"/>
    <x v="1"/>
    <x v="1"/>
    <s v="No"/>
    <x v="1"/>
    <s v="No reaction"/>
  </r>
  <r>
    <s v="P121"/>
    <x v="30"/>
    <x v="1"/>
    <x v="7"/>
    <x v="32"/>
    <x v="1"/>
    <x v="1"/>
    <s v="No"/>
    <x v="1"/>
    <s v="No reaction"/>
  </r>
  <r>
    <s v="P122"/>
    <x v="53"/>
    <x v="0"/>
    <x v="0"/>
    <x v="31"/>
    <x v="4"/>
    <x v="0"/>
    <s v="Yes"/>
    <x v="0"/>
    <s v="Recovered"/>
  </r>
  <r>
    <s v="P123"/>
    <x v="33"/>
    <x v="1"/>
    <x v="7"/>
    <x v="92"/>
    <x v="1"/>
    <x v="1"/>
    <s v="No"/>
    <x v="1"/>
    <s v="No reaction"/>
  </r>
  <r>
    <s v="P124"/>
    <x v="17"/>
    <x v="1"/>
    <x v="2"/>
    <x v="93"/>
    <x v="1"/>
    <x v="1"/>
    <s v="No"/>
    <x v="1"/>
    <s v="No reaction"/>
  </r>
  <r>
    <s v="P125"/>
    <x v="54"/>
    <x v="0"/>
    <x v="6"/>
    <x v="21"/>
    <x v="1"/>
    <x v="1"/>
    <s v="No"/>
    <x v="1"/>
    <s v="No reaction"/>
  </r>
  <r>
    <s v="P126"/>
    <x v="27"/>
    <x v="0"/>
    <x v="4"/>
    <x v="94"/>
    <x v="6"/>
    <x v="2"/>
    <s v="Yes"/>
    <x v="11"/>
    <s v="Recovered"/>
  </r>
  <r>
    <s v="P127"/>
    <x v="11"/>
    <x v="0"/>
    <x v="7"/>
    <x v="50"/>
    <x v="6"/>
    <x v="0"/>
    <s v="Yes"/>
    <x v="11"/>
    <s v="Recovered"/>
  </r>
  <r>
    <s v="P128"/>
    <x v="46"/>
    <x v="1"/>
    <x v="7"/>
    <x v="27"/>
    <x v="1"/>
    <x v="1"/>
    <s v="No"/>
    <x v="1"/>
    <s v="No reaction"/>
  </r>
  <r>
    <s v="P129"/>
    <x v="48"/>
    <x v="1"/>
    <x v="7"/>
    <x v="95"/>
    <x v="2"/>
    <x v="2"/>
    <s v="Yes"/>
    <x v="0"/>
    <s v="Referred"/>
  </r>
  <r>
    <s v="P130"/>
    <x v="12"/>
    <x v="1"/>
    <x v="3"/>
    <x v="2"/>
    <x v="4"/>
    <x v="0"/>
    <s v="Yes"/>
    <x v="0"/>
    <s v="Recovered"/>
  </r>
  <r>
    <s v="P131"/>
    <x v="46"/>
    <x v="0"/>
    <x v="3"/>
    <x v="96"/>
    <x v="4"/>
    <x v="3"/>
    <s v="Yes"/>
    <x v="5"/>
    <s v="Referred"/>
  </r>
  <r>
    <s v="P132"/>
    <x v="30"/>
    <x v="0"/>
    <x v="1"/>
    <x v="59"/>
    <x v="1"/>
    <x v="1"/>
    <s v="No"/>
    <x v="1"/>
    <s v="No reaction"/>
  </r>
  <r>
    <s v="P133"/>
    <x v="16"/>
    <x v="1"/>
    <x v="3"/>
    <x v="97"/>
    <x v="1"/>
    <x v="1"/>
    <s v="No"/>
    <x v="1"/>
    <s v="No reaction"/>
  </r>
  <r>
    <s v="P134"/>
    <x v="17"/>
    <x v="1"/>
    <x v="1"/>
    <x v="61"/>
    <x v="1"/>
    <x v="1"/>
    <s v="No"/>
    <x v="1"/>
    <s v="No reaction"/>
  </r>
  <r>
    <s v="P135"/>
    <x v="14"/>
    <x v="0"/>
    <x v="1"/>
    <x v="35"/>
    <x v="1"/>
    <x v="1"/>
    <s v="No"/>
    <x v="1"/>
    <s v="No reaction"/>
  </r>
  <r>
    <s v="P136"/>
    <x v="20"/>
    <x v="1"/>
    <x v="4"/>
    <x v="65"/>
    <x v="8"/>
    <x v="2"/>
    <s v="Yes"/>
    <x v="11"/>
    <s v="Improving"/>
  </r>
  <r>
    <s v="P137"/>
    <x v="54"/>
    <x v="0"/>
    <x v="7"/>
    <x v="98"/>
    <x v="3"/>
    <x v="0"/>
    <s v="Yes"/>
    <x v="5"/>
    <s v="Improving"/>
  </r>
  <r>
    <s v="P138"/>
    <x v="43"/>
    <x v="0"/>
    <x v="7"/>
    <x v="47"/>
    <x v="1"/>
    <x v="1"/>
    <s v="No"/>
    <x v="1"/>
    <s v="No reaction"/>
  </r>
  <r>
    <s v="P139"/>
    <x v="24"/>
    <x v="0"/>
    <x v="0"/>
    <x v="72"/>
    <x v="1"/>
    <x v="1"/>
    <s v="No"/>
    <x v="1"/>
    <s v="No reaction"/>
  </r>
  <r>
    <s v="P140"/>
    <x v="1"/>
    <x v="0"/>
    <x v="2"/>
    <x v="99"/>
    <x v="1"/>
    <x v="1"/>
    <s v="No"/>
    <x v="1"/>
    <s v="No reaction"/>
  </r>
  <r>
    <s v="P141"/>
    <x v="7"/>
    <x v="0"/>
    <x v="4"/>
    <x v="100"/>
    <x v="2"/>
    <x v="0"/>
    <s v="Yes"/>
    <x v="12"/>
    <s v="Improving"/>
  </r>
  <r>
    <s v="P142"/>
    <x v="17"/>
    <x v="1"/>
    <x v="0"/>
    <x v="101"/>
    <x v="1"/>
    <x v="1"/>
    <s v="No"/>
    <x v="1"/>
    <s v="No reaction"/>
  </r>
  <r>
    <s v="P143"/>
    <x v="29"/>
    <x v="1"/>
    <x v="4"/>
    <x v="56"/>
    <x v="1"/>
    <x v="1"/>
    <s v="No"/>
    <x v="1"/>
    <s v="No reaction"/>
  </r>
  <r>
    <s v="P144"/>
    <x v="9"/>
    <x v="0"/>
    <x v="4"/>
    <x v="102"/>
    <x v="3"/>
    <x v="2"/>
    <s v="Yes"/>
    <x v="13"/>
    <s v="Referred"/>
  </r>
  <r>
    <s v="P145"/>
    <x v="55"/>
    <x v="0"/>
    <x v="1"/>
    <x v="45"/>
    <x v="7"/>
    <x v="2"/>
    <s v="Yes"/>
    <x v="12"/>
    <s v="Referred"/>
  </r>
  <r>
    <s v="P146"/>
    <x v="51"/>
    <x v="0"/>
    <x v="2"/>
    <x v="103"/>
    <x v="1"/>
    <x v="1"/>
    <s v="No"/>
    <x v="1"/>
    <s v="No reaction"/>
  </r>
  <r>
    <s v="P147"/>
    <x v="37"/>
    <x v="0"/>
    <x v="1"/>
    <x v="67"/>
    <x v="2"/>
    <x v="2"/>
    <s v="Yes"/>
    <x v="12"/>
    <s v="Improving"/>
  </r>
  <r>
    <s v="P148"/>
    <x v="14"/>
    <x v="0"/>
    <x v="6"/>
    <x v="91"/>
    <x v="1"/>
    <x v="1"/>
    <s v="No"/>
    <x v="1"/>
    <s v="No reaction"/>
  </r>
  <r>
    <s v="P149"/>
    <x v="47"/>
    <x v="0"/>
    <x v="1"/>
    <x v="44"/>
    <x v="1"/>
    <x v="1"/>
    <s v="No"/>
    <x v="1"/>
    <s v="No reaction"/>
  </r>
  <r>
    <s v="P150"/>
    <x v="20"/>
    <x v="0"/>
    <x v="0"/>
    <x v="104"/>
    <x v="2"/>
    <x v="0"/>
    <s v="Yes"/>
    <x v="7"/>
    <s v="Referred"/>
  </r>
  <r>
    <s v="P151"/>
    <x v="19"/>
    <x v="0"/>
    <x v="1"/>
    <x v="91"/>
    <x v="1"/>
    <x v="1"/>
    <s v="No"/>
    <x v="1"/>
    <s v="No reaction"/>
  </r>
  <r>
    <s v="P152"/>
    <x v="10"/>
    <x v="0"/>
    <x v="5"/>
    <x v="45"/>
    <x v="1"/>
    <x v="1"/>
    <s v="No"/>
    <x v="1"/>
    <s v="No reaction"/>
  </r>
  <r>
    <s v="P153"/>
    <x v="34"/>
    <x v="1"/>
    <x v="4"/>
    <x v="105"/>
    <x v="0"/>
    <x v="3"/>
    <s v="Yes"/>
    <x v="11"/>
    <s v="Recovered"/>
  </r>
  <r>
    <s v="P154"/>
    <x v="12"/>
    <x v="0"/>
    <x v="5"/>
    <x v="18"/>
    <x v="4"/>
    <x v="3"/>
    <s v="Yes"/>
    <x v="7"/>
    <s v="Recovered"/>
  </r>
  <r>
    <s v="P155"/>
    <x v="10"/>
    <x v="1"/>
    <x v="2"/>
    <x v="106"/>
    <x v="2"/>
    <x v="0"/>
    <s v="Yes"/>
    <x v="6"/>
    <s v="Referred"/>
  </r>
  <r>
    <s v="P156"/>
    <x v="48"/>
    <x v="1"/>
    <x v="3"/>
    <x v="107"/>
    <x v="8"/>
    <x v="0"/>
    <s v="Yes"/>
    <x v="10"/>
    <s v="Recovered"/>
  </r>
  <r>
    <s v="P157"/>
    <x v="43"/>
    <x v="0"/>
    <x v="3"/>
    <x v="108"/>
    <x v="1"/>
    <x v="1"/>
    <s v="No"/>
    <x v="1"/>
    <s v="No reaction"/>
  </r>
  <r>
    <s v="P158"/>
    <x v="56"/>
    <x v="0"/>
    <x v="7"/>
    <x v="13"/>
    <x v="4"/>
    <x v="2"/>
    <s v="Yes"/>
    <x v="14"/>
    <s v="Improving"/>
  </r>
  <r>
    <s v="P159"/>
    <x v="35"/>
    <x v="0"/>
    <x v="7"/>
    <x v="29"/>
    <x v="4"/>
    <x v="2"/>
    <s v="Yes"/>
    <x v="13"/>
    <s v="Improving"/>
  </r>
  <r>
    <s v="P160"/>
    <x v="36"/>
    <x v="0"/>
    <x v="5"/>
    <x v="100"/>
    <x v="1"/>
    <x v="1"/>
    <s v="No"/>
    <x v="1"/>
    <s v="No reaction"/>
  </r>
  <r>
    <s v="P161"/>
    <x v="13"/>
    <x v="1"/>
    <x v="1"/>
    <x v="20"/>
    <x v="1"/>
    <x v="1"/>
    <s v="No"/>
    <x v="1"/>
    <s v="No reaction"/>
  </r>
  <r>
    <s v="P162"/>
    <x v="35"/>
    <x v="1"/>
    <x v="5"/>
    <x v="109"/>
    <x v="1"/>
    <x v="1"/>
    <s v="No"/>
    <x v="1"/>
    <s v="No reaction"/>
  </r>
  <r>
    <s v="P163"/>
    <x v="36"/>
    <x v="1"/>
    <x v="3"/>
    <x v="110"/>
    <x v="1"/>
    <x v="1"/>
    <s v="No"/>
    <x v="1"/>
    <s v="No reaction"/>
  </r>
  <r>
    <s v="P164"/>
    <x v="57"/>
    <x v="1"/>
    <x v="5"/>
    <x v="0"/>
    <x v="1"/>
    <x v="1"/>
    <s v="No"/>
    <x v="1"/>
    <s v="No reaction"/>
  </r>
  <r>
    <s v="P165"/>
    <x v="34"/>
    <x v="1"/>
    <x v="4"/>
    <x v="97"/>
    <x v="7"/>
    <x v="2"/>
    <s v="Yes"/>
    <x v="12"/>
    <s v="Improving"/>
  </r>
  <r>
    <s v="P166"/>
    <x v="2"/>
    <x v="0"/>
    <x v="2"/>
    <x v="111"/>
    <x v="8"/>
    <x v="0"/>
    <s v="Yes"/>
    <x v="11"/>
    <s v="Improving"/>
  </r>
  <r>
    <s v="P167"/>
    <x v="24"/>
    <x v="1"/>
    <x v="1"/>
    <x v="112"/>
    <x v="1"/>
    <x v="1"/>
    <s v="No"/>
    <x v="1"/>
    <s v="No reaction"/>
  </r>
  <r>
    <s v="P168"/>
    <x v="39"/>
    <x v="0"/>
    <x v="2"/>
    <x v="113"/>
    <x v="4"/>
    <x v="3"/>
    <s v="Yes"/>
    <x v="10"/>
    <s v="Recovered"/>
  </r>
  <r>
    <s v="P169"/>
    <x v="29"/>
    <x v="0"/>
    <x v="0"/>
    <x v="40"/>
    <x v="6"/>
    <x v="3"/>
    <s v="Yes"/>
    <x v="12"/>
    <s v="Improving"/>
  </r>
  <r>
    <s v="P170"/>
    <x v="17"/>
    <x v="0"/>
    <x v="2"/>
    <x v="101"/>
    <x v="1"/>
    <x v="1"/>
    <s v="No"/>
    <x v="1"/>
    <s v="No reaction"/>
  </r>
  <r>
    <s v="P171"/>
    <x v="37"/>
    <x v="0"/>
    <x v="2"/>
    <x v="53"/>
    <x v="0"/>
    <x v="0"/>
    <s v="Yes"/>
    <x v="14"/>
    <s v="Referred"/>
  </r>
  <r>
    <s v="P172"/>
    <x v="58"/>
    <x v="1"/>
    <x v="5"/>
    <x v="114"/>
    <x v="7"/>
    <x v="0"/>
    <s v="Yes"/>
    <x v="4"/>
    <s v="Recovered"/>
  </r>
  <r>
    <s v="P173"/>
    <x v="49"/>
    <x v="0"/>
    <x v="4"/>
    <x v="115"/>
    <x v="1"/>
    <x v="1"/>
    <s v="No"/>
    <x v="1"/>
    <s v="No reaction"/>
  </r>
  <r>
    <s v="P174"/>
    <x v="33"/>
    <x v="0"/>
    <x v="5"/>
    <x v="60"/>
    <x v="1"/>
    <x v="1"/>
    <s v="No"/>
    <x v="1"/>
    <s v="No reaction"/>
  </r>
  <r>
    <s v="P175"/>
    <x v="29"/>
    <x v="1"/>
    <x v="7"/>
    <x v="116"/>
    <x v="1"/>
    <x v="1"/>
    <s v="No"/>
    <x v="1"/>
    <s v="No reaction"/>
  </r>
  <r>
    <s v="P176"/>
    <x v="41"/>
    <x v="1"/>
    <x v="7"/>
    <x v="106"/>
    <x v="3"/>
    <x v="0"/>
    <s v="Yes"/>
    <x v="5"/>
    <s v="Improving"/>
  </r>
  <r>
    <s v="P177"/>
    <x v="3"/>
    <x v="1"/>
    <x v="2"/>
    <x v="117"/>
    <x v="1"/>
    <x v="1"/>
    <s v="No"/>
    <x v="1"/>
    <s v="No reaction"/>
  </r>
  <r>
    <s v="P178"/>
    <x v="59"/>
    <x v="1"/>
    <x v="3"/>
    <x v="2"/>
    <x v="3"/>
    <x v="2"/>
    <s v="Yes"/>
    <x v="5"/>
    <s v="Referred"/>
  </r>
  <r>
    <s v="P179"/>
    <x v="8"/>
    <x v="0"/>
    <x v="2"/>
    <x v="118"/>
    <x v="1"/>
    <x v="1"/>
    <s v="No"/>
    <x v="1"/>
    <s v="No reaction"/>
  </r>
  <r>
    <s v="P180"/>
    <x v="8"/>
    <x v="0"/>
    <x v="5"/>
    <x v="20"/>
    <x v="1"/>
    <x v="1"/>
    <s v="No"/>
    <x v="1"/>
    <s v="No reaction"/>
  </r>
  <r>
    <s v="P181"/>
    <x v="47"/>
    <x v="1"/>
    <x v="4"/>
    <x v="119"/>
    <x v="7"/>
    <x v="0"/>
    <s v="Yes"/>
    <x v="8"/>
    <s v="Recovered"/>
  </r>
  <r>
    <s v="P182"/>
    <x v="2"/>
    <x v="0"/>
    <x v="2"/>
    <x v="120"/>
    <x v="1"/>
    <x v="1"/>
    <s v="No"/>
    <x v="1"/>
    <s v="No reaction"/>
  </r>
  <r>
    <s v="P183"/>
    <x v="42"/>
    <x v="0"/>
    <x v="5"/>
    <x v="22"/>
    <x v="5"/>
    <x v="2"/>
    <s v="Yes"/>
    <x v="10"/>
    <s v="Referred"/>
  </r>
  <r>
    <s v="P184"/>
    <x v="11"/>
    <x v="0"/>
    <x v="6"/>
    <x v="121"/>
    <x v="4"/>
    <x v="2"/>
    <s v="Yes"/>
    <x v="6"/>
    <s v="Recovered"/>
  </r>
  <r>
    <s v="P185"/>
    <x v="23"/>
    <x v="0"/>
    <x v="7"/>
    <x v="100"/>
    <x v="2"/>
    <x v="0"/>
    <s v="Yes"/>
    <x v="5"/>
    <s v="Recovered"/>
  </r>
  <r>
    <s v="P186"/>
    <x v="24"/>
    <x v="1"/>
    <x v="5"/>
    <x v="76"/>
    <x v="3"/>
    <x v="2"/>
    <s v="Yes"/>
    <x v="9"/>
    <s v="Referred"/>
  </r>
  <r>
    <s v="P187"/>
    <x v="44"/>
    <x v="0"/>
    <x v="1"/>
    <x v="105"/>
    <x v="1"/>
    <x v="1"/>
    <s v="No"/>
    <x v="1"/>
    <s v="No reaction"/>
  </r>
  <r>
    <s v="P188"/>
    <x v="46"/>
    <x v="0"/>
    <x v="4"/>
    <x v="16"/>
    <x v="1"/>
    <x v="1"/>
    <s v="No"/>
    <x v="1"/>
    <s v="No reaction"/>
  </r>
  <r>
    <s v="P189"/>
    <x v="16"/>
    <x v="0"/>
    <x v="6"/>
    <x v="36"/>
    <x v="7"/>
    <x v="0"/>
    <s v="Yes"/>
    <x v="12"/>
    <s v="Recovered"/>
  </r>
  <r>
    <s v="P190"/>
    <x v="22"/>
    <x v="0"/>
    <x v="6"/>
    <x v="83"/>
    <x v="0"/>
    <x v="2"/>
    <s v="Yes"/>
    <x v="8"/>
    <s v="Referred"/>
  </r>
  <r>
    <s v="P191"/>
    <x v="56"/>
    <x v="0"/>
    <x v="6"/>
    <x v="32"/>
    <x v="1"/>
    <x v="1"/>
    <s v="No"/>
    <x v="1"/>
    <s v="No reaction"/>
  </r>
  <r>
    <s v="P192"/>
    <x v="49"/>
    <x v="1"/>
    <x v="2"/>
    <x v="122"/>
    <x v="1"/>
    <x v="1"/>
    <s v="No"/>
    <x v="1"/>
    <s v="No reaction"/>
  </r>
  <r>
    <s v="P193"/>
    <x v="21"/>
    <x v="0"/>
    <x v="3"/>
    <x v="123"/>
    <x v="3"/>
    <x v="2"/>
    <s v="Yes"/>
    <x v="10"/>
    <s v="Referred"/>
  </r>
  <r>
    <s v="P194"/>
    <x v="41"/>
    <x v="0"/>
    <x v="0"/>
    <x v="41"/>
    <x v="1"/>
    <x v="1"/>
    <s v="No"/>
    <x v="1"/>
    <s v="No reaction"/>
  </r>
  <r>
    <s v="P195"/>
    <x v="13"/>
    <x v="1"/>
    <x v="0"/>
    <x v="124"/>
    <x v="4"/>
    <x v="2"/>
    <s v="Yes"/>
    <x v="10"/>
    <s v="Improving"/>
  </r>
  <r>
    <s v="P196"/>
    <x v="2"/>
    <x v="0"/>
    <x v="3"/>
    <x v="61"/>
    <x v="3"/>
    <x v="2"/>
    <s v="Yes"/>
    <x v="4"/>
    <s v="Improving"/>
  </r>
  <r>
    <s v="P197"/>
    <x v="50"/>
    <x v="0"/>
    <x v="4"/>
    <x v="125"/>
    <x v="1"/>
    <x v="1"/>
    <s v="No"/>
    <x v="1"/>
    <s v="No reaction"/>
  </r>
  <r>
    <s v="P198"/>
    <x v="37"/>
    <x v="0"/>
    <x v="7"/>
    <x v="57"/>
    <x v="7"/>
    <x v="0"/>
    <s v="Yes"/>
    <x v="14"/>
    <s v="Improving"/>
  </r>
  <r>
    <s v="P199"/>
    <x v="14"/>
    <x v="0"/>
    <x v="3"/>
    <x v="126"/>
    <x v="1"/>
    <x v="1"/>
    <s v="No"/>
    <x v="1"/>
    <s v="No reaction"/>
  </r>
  <r>
    <s v="P200"/>
    <x v="26"/>
    <x v="1"/>
    <x v="1"/>
    <x v="127"/>
    <x v="6"/>
    <x v="2"/>
    <s v="Yes"/>
    <x v="4"/>
    <s v="Referred"/>
  </r>
  <r>
    <s v="P201"/>
    <x v="31"/>
    <x v="0"/>
    <x v="7"/>
    <x v="36"/>
    <x v="0"/>
    <x v="2"/>
    <s v="Yes"/>
    <x v="11"/>
    <s v="Referred"/>
  </r>
  <r>
    <s v="P202"/>
    <x v="9"/>
    <x v="0"/>
    <x v="1"/>
    <x v="128"/>
    <x v="1"/>
    <x v="1"/>
    <s v="No"/>
    <x v="1"/>
    <s v="No reaction"/>
  </r>
  <r>
    <s v="P203"/>
    <x v="3"/>
    <x v="0"/>
    <x v="0"/>
    <x v="9"/>
    <x v="6"/>
    <x v="2"/>
    <s v="Yes"/>
    <x v="14"/>
    <s v="Recovered"/>
  </r>
  <r>
    <s v="P204"/>
    <x v="29"/>
    <x v="1"/>
    <x v="4"/>
    <x v="31"/>
    <x v="3"/>
    <x v="0"/>
    <s v="Yes"/>
    <x v="10"/>
    <s v="Improving"/>
  </r>
  <r>
    <s v="P205"/>
    <x v="50"/>
    <x v="1"/>
    <x v="2"/>
    <x v="129"/>
    <x v="1"/>
    <x v="1"/>
    <s v="No"/>
    <x v="1"/>
    <s v="No reaction"/>
  </r>
  <r>
    <s v="P206"/>
    <x v="19"/>
    <x v="1"/>
    <x v="0"/>
    <x v="85"/>
    <x v="7"/>
    <x v="0"/>
    <s v="Yes"/>
    <x v="6"/>
    <s v="Referred"/>
  </r>
  <r>
    <s v="P207"/>
    <x v="0"/>
    <x v="0"/>
    <x v="0"/>
    <x v="56"/>
    <x v="1"/>
    <x v="1"/>
    <s v="No"/>
    <x v="1"/>
    <s v="No reaction"/>
  </r>
  <r>
    <s v="P208"/>
    <x v="25"/>
    <x v="1"/>
    <x v="1"/>
    <x v="24"/>
    <x v="1"/>
    <x v="1"/>
    <s v="No"/>
    <x v="1"/>
    <s v="No reaction"/>
  </r>
  <r>
    <s v="P209"/>
    <x v="16"/>
    <x v="1"/>
    <x v="4"/>
    <x v="79"/>
    <x v="1"/>
    <x v="1"/>
    <s v="No"/>
    <x v="1"/>
    <s v="No reaction"/>
  </r>
  <r>
    <s v="P210"/>
    <x v="59"/>
    <x v="0"/>
    <x v="2"/>
    <x v="130"/>
    <x v="1"/>
    <x v="1"/>
    <s v="No"/>
    <x v="1"/>
    <s v="No reaction"/>
  </r>
  <r>
    <s v="P211"/>
    <x v="37"/>
    <x v="1"/>
    <x v="6"/>
    <x v="131"/>
    <x v="4"/>
    <x v="0"/>
    <s v="Yes"/>
    <x v="12"/>
    <s v="Referred"/>
  </r>
  <r>
    <s v="P212"/>
    <x v="37"/>
    <x v="1"/>
    <x v="6"/>
    <x v="132"/>
    <x v="1"/>
    <x v="1"/>
    <s v="No"/>
    <x v="1"/>
    <s v="No reaction"/>
  </r>
  <r>
    <s v="P213"/>
    <x v="11"/>
    <x v="1"/>
    <x v="3"/>
    <x v="56"/>
    <x v="7"/>
    <x v="0"/>
    <s v="Yes"/>
    <x v="3"/>
    <s v="Improving"/>
  </r>
  <r>
    <s v="P214"/>
    <x v="60"/>
    <x v="0"/>
    <x v="1"/>
    <x v="74"/>
    <x v="3"/>
    <x v="2"/>
    <s v="Yes"/>
    <x v="0"/>
    <s v="Referred"/>
  </r>
  <r>
    <s v="P215"/>
    <x v="22"/>
    <x v="0"/>
    <x v="7"/>
    <x v="53"/>
    <x v="0"/>
    <x v="2"/>
    <s v="Yes"/>
    <x v="9"/>
    <s v="Referred"/>
  </r>
  <r>
    <s v="P216"/>
    <x v="27"/>
    <x v="1"/>
    <x v="3"/>
    <x v="133"/>
    <x v="5"/>
    <x v="2"/>
    <s v="Yes"/>
    <x v="0"/>
    <s v="Recovered"/>
  </r>
  <r>
    <s v="P217"/>
    <x v="26"/>
    <x v="0"/>
    <x v="6"/>
    <x v="109"/>
    <x v="3"/>
    <x v="2"/>
    <s v="Yes"/>
    <x v="0"/>
    <s v="Recovered"/>
  </r>
  <r>
    <s v="P218"/>
    <x v="9"/>
    <x v="1"/>
    <x v="7"/>
    <x v="94"/>
    <x v="1"/>
    <x v="1"/>
    <s v="No"/>
    <x v="1"/>
    <s v="No reaction"/>
  </r>
  <r>
    <s v="P219"/>
    <x v="39"/>
    <x v="0"/>
    <x v="1"/>
    <x v="68"/>
    <x v="1"/>
    <x v="1"/>
    <s v="No"/>
    <x v="1"/>
    <s v="No reaction"/>
  </r>
  <r>
    <s v="P220"/>
    <x v="29"/>
    <x v="0"/>
    <x v="4"/>
    <x v="47"/>
    <x v="2"/>
    <x v="3"/>
    <s v="Yes"/>
    <x v="14"/>
    <s v="Referred"/>
  </r>
  <r>
    <s v="P221"/>
    <x v="17"/>
    <x v="1"/>
    <x v="7"/>
    <x v="59"/>
    <x v="1"/>
    <x v="1"/>
    <s v="No"/>
    <x v="1"/>
    <s v="No reaction"/>
  </r>
  <r>
    <s v="P222"/>
    <x v="39"/>
    <x v="1"/>
    <x v="0"/>
    <x v="28"/>
    <x v="5"/>
    <x v="2"/>
    <s v="Yes"/>
    <x v="5"/>
    <s v="Referred"/>
  </r>
  <r>
    <s v="P223"/>
    <x v="18"/>
    <x v="1"/>
    <x v="4"/>
    <x v="127"/>
    <x v="1"/>
    <x v="1"/>
    <s v="No"/>
    <x v="1"/>
    <s v="No reaction"/>
  </r>
  <r>
    <s v="P224"/>
    <x v="34"/>
    <x v="1"/>
    <x v="6"/>
    <x v="14"/>
    <x v="6"/>
    <x v="2"/>
    <s v="Yes"/>
    <x v="10"/>
    <s v="Recovered"/>
  </r>
  <r>
    <s v="P225"/>
    <x v="36"/>
    <x v="0"/>
    <x v="6"/>
    <x v="134"/>
    <x v="1"/>
    <x v="1"/>
    <s v="No"/>
    <x v="1"/>
    <s v="No reaction"/>
  </r>
  <r>
    <s v="P226"/>
    <x v="0"/>
    <x v="0"/>
    <x v="3"/>
    <x v="125"/>
    <x v="4"/>
    <x v="2"/>
    <s v="Yes"/>
    <x v="6"/>
    <s v="Referred"/>
  </r>
  <r>
    <s v="P227"/>
    <x v="48"/>
    <x v="0"/>
    <x v="1"/>
    <x v="42"/>
    <x v="7"/>
    <x v="2"/>
    <s v="Yes"/>
    <x v="5"/>
    <s v="Referred"/>
  </r>
  <r>
    <s v="P228"/>
    <x v="18"/>
    <x v="1"/>
    <x v="5"/>
    <x v="53"/>
    <x v="1"/>
    <x v="1"/>
    <s v="No"/>
    <x v="1"/>
    <s v="No reaction"/>
  </r>
  <r>
    <s v="P229"/>
    <x v="22"/>
    <x v="0"/>
    <x v="4"/>
    <x v="55"/>
    <x v="1"/>
    <x v="1"/>
    <s v="No"/>
    <x v="1"/>
    <s v="No reaction"/>
  </r>
  <r>
    <s v="P230"/>
    <x v="9"/>
    <x v="0"/>
    <x v="6"/>
    <x v="83"/>
    <x v="1"/>
    <x v="1"/>
    <s v="No"/>
    <x v="1"/>
    <s v="No reaction"/>
  </r>
  <r>
    <s v="P231"/>
    <x v="44"/>
    <x v="1"/>
    <x v="2"/>
    <x v="114"/>
    <x v="1"/>
    <x v="1"/>
    <s v="No"/>
    <x v="1"/>
    <s v="No reaction"/>
  </r>
  <r>
    <s v="P232"/>
    <x v="61"/>
    <x v="1"/>
    <x v="5"/>
    <x v="28"/>
    <x v="7"/>
    <x v="2"/>
    <s v="Yes"/>
    <x v="11"/>
    <s v="Recovered"/>
  </r>
  <r>
    <s v="P233"/>
    <x v="35"/>
    <x v="1"/>
    <x v="4"/>
    <x v="107"/>
    <x v="8"/>
    <x v="0"/>
    <s v="Yes"/>
    <x v="2"/>
    <s v="Recovered"/>
  </r>
  <r>
    <s v="P234"/>
    <x v="48"/>
    <x v="0"/>
    <x v="6"/>
    <x v="17"/>
    <x v="1"/>
    <x v="1"/>
    <s v="No"/>
    <x v="1"/>
    <s v="No reaction"/>
  </r>
  <r>
    <s v="P235"/>
    <x v="37"/>
    <x v="1"/>
    <x v="6"/>
    <x v="5"/>
    <x v="8"/>
    <x v="0"/>
    <s v="Yes"/>
    <x v="5"/>
    <s v="Improving"/>
  </r>
  <r>
    <s v="P236"/>
    <x v="53"/>
    <x v="0"/>
    <x v="4"/>
    <x v="135"/>
    <x v="4"/>
    <x v="0"/>
    <s v="Yes"/>
    <x v="6"/>
    <s v="Referred"/>
  </r>
  <r>
    <s v="P237"/>
    <x v="20"/>
    <x v="1"/>
    <x v="2"/>
    <x v="40"/>
    <x v="5"/>
    <x v="2"/>
    <s v="Yes"/>
    <x v="11"/>
    <s v="Recovered"/>
  </r>
  <r>
    <s v="P238"/>
    <x v="5"/>
    <x v="1"/>
    <x v="0"/>
    <x v="31"/>
    <x v="1"/>
    <x v="1"/>
    <s v="No"/>
    <x v="1"/>
    <s v="No reaction"/>
  </r>
  <r>
    <s v="P239"/>
    <x v="31"/>
    <x v="1"/>
    <x v="5"/>
    <x v="98"/>
    <x v="1"/>
    <x v="1"/>
    <s v="No"/>
    <x v="1"/>
    <s v="No reaction"/>
  </r>
  <r>
    <s v="P240"/>
    <x v="61"/>
    <x v="0"/>
    <x v="5"/>
    <x v="37"/>
    <x v="1"/>
    <x v="1"/>
    <s v="No"/>
    <x v="1"/>
    <s v="No reaction"/>
  </r>
  <r>
    <s v="P241"/>
    <x v="0"/>
    <x v="0"/>
    <x v="4"/>
    <x v="57"/>
    <x v="5"/>
    <x v="0"/>
    <s v="Yes"/>
    <x v="8"/>
    <s v="Improving"/>
  </r>
  <r>
    <s v="P242"/>
    <x v="9"/>
    <x v="0"/>
    <x v="7"/>
    <x v="82"/>
    <x v="1"/>
    <x v="1"/>
    <s v="No"/>
    <x v="1"/>
    <s v="No reaction"/>
  </r>
  <r>
    <s v="P243"/>
    <x v="49"/>
    <x v="1"/>
    <x v="0"/>
    <x v="58"/>
    <x v="3"/>
    <x v="2"/>
    <s v="Yes"/>
    <x v="7"/>
    <s v="Improving"/>
  </r>
  <r>
    <s v="P244"/>
    <x v="54"/>
    <x v="0"/>
    <x v="7"/>
    <x v="30"/>
    <x v="6"/>
    <x v="3"/>
    <s v="Yes"/>
    <x v="4"/>
    <s v="Improving"/>
  </r>
  <r>
    <s v="P245"/>
    <x v="30"/>
    <x v="0"/>
    <x v="3"/>
    <x v="100"/>
    <x v="1"/>
    <x v="1"/>
    <s v="No"/>
    <x v="1"/>
    <s v="No reaction"/>
  </r>
  <r>
    <s v="P246"/>
    <x v="45"/>
    <x v="1"/>
    <x v="7"/>
    <x v="69"/>
    <x v="1"/>
    <x v="1"/>
    <s v="No"/>
    <x v="1"/>
    <s v="No reaction"/>
  </r>
  <r>
    <s v="P247"/>
    <x v="43"/>
    <x v="0"/>
    <x v="3"/>
    <x v="16"/>
    <x v="5"/>
    <x v="0"/>
    <s v="Yes"/>
    <x v="5"/>
    <s v="Referred"/>
  </r>
  <r>
    <s v="P248"/>
    <x v="50"/>
    <x v="0"/>
    <x v="1"/>
    <x v="136"/>
    <x v="1"/>
    <x v="1"/>
    <s v="No"/>
    <x v="1"/>
    <s v="No reaction"/>
  </r>
  <r>
    <s v="P249"/>
    <x v="15"/>
    <x v="0"/>
    <x v="7"/>
    <x v="55"/>
    <x v="1"/>
    <x v="1"/>
    <s v="No"/>
    <x v="1"/>
    <s v="No reaction"/>
  </r>
  <r>
    <s v="P250"/>
    <x v="55"/>
    <x v="0"/>
    <x v="3"/>
    <x v="137"/>
    <x v="6"/>
    <x v="2"/>
    <s v="Yes"/>
    <x v="2"/>
    <s v="Recovered"/>
  </r>
  <r>
    <s v="P251"/>
    <x v="19"/>
    <x v="1"/>
    <x v="4"/>
    <x v="47"/>
    <x v="5"/>
    <x v="0"/>
    <s v="Yes"/>
    <x v="8"/>
    <s v="Referred"/>
  </r>
  <r>
    <s v="P252"/>
    <x v="22"/>
    <x v="0"/>
    <x v="4"/>
    <x v="138"/>
    <x v="1"/>
    <x v="1"/>
    <s v="No"/>
    <x v="1"/>
    <s v="No reaction"/>
  </r>
  <r>
    <s v="P253"/>
    <x v="4"/>
    <x v="1"/>
    <x v="0"/>
    <x v="12"/>
    <x v="1"/>
    <x v="1"/>
    <s v="No"/>
    <x v="1"/>
    <s v="No reaction"/>
  </r>
  <r>
    <s v="P254"/>
    <x v="24"/>
    <x v="1"/>
    <x v="0"/>
    <x v="46"/>
    <x v="1"/>
    <x v="1"/>
    <s v="No"/>
    <x v="1"/>
    <s v="No reaction"/>
  </r>
  <r>
    <s v="P255"/>
    <x v="47"/>
    <x v="0"/>
    <x v="0"/>
    <x v="36"/>
    <x v="8"/>
    <x v="0"/>
    <s v="Yes"/>
    <x v="2"/>
    <s v="Recovered"/>
  </r>
  <r>
    <s v="P256"/>
    <x v="32"/>
    <x v="1"/>
    <x v="5"/>
    <x v="106"/>
    <x v="1"/>
    <x v="1"/>
    <s v="No"/>
    <x v="1"/>
    <s v="No reaction"/>
  </r>
  <r>
    <s v="P257"/>
    <x v="10"/>
    <x v="0"/>
    <x v="2"/>
    <x v="60"/>
    <x v="1"/>
    <x v="1"/>
    <s v="No"/>
    <x v="1"/>
    <s v="No reaction"/>
  </r>
  <r>
    <s v="P258"/>
    <x v="18"/>
    <x v="1"/>
    <x v="2"/>
    <x v="21"/>
    <x v="1"/>
    <x v="1"/>
    <s v="No"/>
    <x v="1"/>
    <s v="No reaction"/>
  </r>
  <r>
    <s v="P259"/>
    <x v="8"/>
    <x v="0"/>
    <x v="4"/>
    <x v="139"/>
    <x v="1"/>
    <x v="1"/>
    <s v="No"/>
    <x v="1"/>
    <s v="No reaction"/>
  </r>
  <r>
    <s v="P260"/>
    <x v="17"/>
    <x v="0"/>
    <x v="4"/>
    <x v="19"/>
    <x v="1"/>
    <x v="1"/>
    <s v="No"/>
    <x v="1"/>
    <s v="No reaction"/>
  </r>
  <r>
    <s v="P261"/>
    <x v="40"/>
    <x v="1"/>
    <x v="3"/>
    <x v="64"/>
    <x v="0"/>
    <x v="3"/>
    <s v="Yes"/>
    <x v="0"/>
    <s v="Recovered"/>
  </r>
  <r>
    <s v="P262"/>
    <x v="35"/>
    <x v="0"/>
    <x v="1"/>
    <x v="136"/>
    <x v="1"/>
    <x v="1"/>
    <s v="No"/>
    <x v="1"/>
    <s v="No reaction"/>
  </r>
  <r>
    <s v="P263"/>
    <x v="61"/>
    <x v="1"/>
    <x v="0"/>
    <x v="17"/>
    <x v="7"/>
    <x v="2"/>
    <s v="Yes"/>
    <x v="7"/>
    <s v="Improving"/>
  </r>
  <r>
    <s v="P264"/>
    <x v="33"/>
    <x v="0"/>
    <x v="5"/>
    <x v="28"/>
    <x v="1"/>
    <x v="1"/>
    <s v="No"/>
    <x v="1"/>
    <s v="No reaction"/>
  </r>
  <r>
    <s v="P265"/>
    <x v="34"/>
    <x v="0"/>
    <x v="1"/>
    <x v="58"/>
    <x v="5"/>
    <x v="0"/>
    <s v="Yes"/>
    <x v="10"/>
    <s v="Referred"/>
  </r>
  <r>
    <s v="P266"/>
    <x v="59"/>
    <x v="0"/>
    <x v="3"/>
    <x v="59"/>
    <x v="1"/>
    <x v="1"/>
    <s v="No"/>
    <x v="1"/>
    <s v="No reaction"/>
  </r>
  <r>
    <s v="P267"/>
    <x v="41"/>
    <x v="1"/>
    <x v="5"/>
    <x v="14"/>
    <x v="1"/>
    <x v="1"/>
    <s v="No"/>
    <x v="1"/>
    <s v="No reaction"/>
  </r>
  <r>
    <s v="P268"/>
    <x v="37"/>
    <x v="0"/>
    <x v="4"/>
    <x v="24"/>
    <x v="1"/>
    <x v="1"/>
    <s v="No"/>
    <x v="1"/>
    <s v="No reaction"/>
  </r>
  <r>
    <s v="P269"/>
    <x v="8"/>
    <x v="0"/>
    <x v="5"/>
    <x v="115"/>
    <x v="7"/>
    <x v="0"/>
    <s v="Yes"/>
    <x v="0"/>
    <s v="Recovered"/>
  </r>
  <r>
    <s v="P270"/>
    <x v="51"/>
    <x v="1"/>
    <x v="5"/>
    <x v="108"/>
    <x v="1"/>
    <x v="1"/>
    <s v="No"/>
    <x v="1"/>
    <s v="No reaction"/>
  </r>
  <r>
    <s v="P271"/>
    <x v="32"/>
    <x v="0"/>
    <x v="0"/>
    <x v="55"/>
    <x v="2"/>
    <x v="2"/>
    <s v="Yes"/>
    <x v="11"/>
    <s v="Referred"/>
  </r>
  <r>
    <s v="P272"/>
    <x v="7"/>
    <x v="1"/>
    <x v="4"/>
    <x v="88"/>
    <x v="1"/>
    <x v="1"/>
    <s v="No"/>
    <x v="1"/>
    <s v="No reaction"/>
  </r>
  <r>
    <s v="P273"/>
    <x v="44"/>
    <x v="1"/>
    <x v="5"/>
    <x v="140"/>
    <x v="1"/>
    <x v="1"/>
    <s v="No"/>
    <x v="1"/>
    <s v="No reaction"/>
  </r>
  <r>
    <s v="P274"/>
    <x v="58"/>
    <x v="1"/>
    <x v="3"/>
    <x v="141"/>
    <x v="1"/>
    <x v="1"/>
    <s v="No"/>
    <x v="1"/>
    <s v="No reaction"/>
  </r>
  <r>
    <s v="P275"/>
    <x v="5"/>
    <x v="0"/>
    <x v="0"/>
    <x v="136"/>
    <x v="1"/>
    <x v="1"/>
    <s v="No"/>
    <x v="1"/>
    <s v="No reaction"/>
  </r>
  <r>
    <s v="P276"/>
    <x v="6"/>
    <x v="0"/>
    <x v="2"/>
    <x v="142"/>
    <x v="1"/>
    <x v="1"/>
    <s v="No"/>
    <x v="1"/>
    <s v="No reaction"/>
  </r>
  <r>
    <s v="P277"/>
    <x v="27"/>
    <x v="0"/>
    <x v="4"/>
    <x v="26"/>
    <x v="1"/>
    <x v="1"/>
    <s v="No"/>
    <x v="1"/>
    <s v="No reaction"/>
  </r>
  <r>
    <s v="P278"/>
    <x v="51"/>
    <x v="0"/>
    <x v="7"/>
    <x v="143"/>
    <x v="0"/>
    <x v="2"/>
    <s v="Yes"/>
    <x v="4"/>
    <s v="Improving"/>
  </r>
  <r>
    <s v="P279"/>
    <x v="51"/>
    <x v="1"/>
    <x v="5"/>
    <x v="124"/>
    <x v="1"/>
    <x v="1"/>
    <s v="No"/>
    <x v="1"/>
    <s v="No reaction"/>
  </r>
  <r>
    <s v="P280"/>
    <x v="47"/>
    <x v="1"/>
    <x v="5"/>
    <x v="72"/>
    <x v="1"/>
    <x v="1"/>
    <s v="No"/>
    <x v="1"/>
    <s v="No reaction"/>
  </r>
  <r>
    <s v="P281"/>
    <x v="12"/>
    <x v="1"/>
    <x v="6"/>
    <x v="106"/>
    <x v="1"/>
    <x v="1"/>
    <s v="No"/>
    <x v="1"/>
    <s v="No reaction"/>
  </r>
  <r>
    <s v="P282"/>
    <x v="41"/>
    <x v="1"/>
    <x v="1"/>
    <x v="108"/>
    <x v="1"/>
    <x v="1"/>
    <s v="No"/>
    <x v="1"/>
    <s v="No reaction"/>
  </r>
  <r>
    <s v="P283"/>
    <x v="44"/>
    <x v="0"/>
    <x v="1"/>
    <x v="100"/>
    <x v="7"/>
    <x v="2"/>
    <s v="Yes"/>
    <x v="5"/>
    <s v="Recovered"/>
  </r>
  <r>
    <s v="P284"/>
    <x v="23"/>
    <x v="1"/>
    <x v="1"/>
    <x v="19"/>
    <x v="5"/>
    <x v="2"/>
    <s v="Yes"/>
    <x v="10"/>
    <s v="Recovered"/>
  </r>
  <r>
    <s v="P285"/>
    <x v="50"/>
    <x v="0"/>
    <x v="5"/>
    <x v="6"/>
    <x v="8"/>
    <x v="3"/>
    <s v="Yes"/>
    <x v="2"/>
    <s v="Improving"/>
  </r>
  <r>
    <s v="P286"/>
    <x v="2"/>
    <x v="0"/>
    <x v="7"/>
    <x v="116"/>
    <x v="2"/>
    <x v="0"/>
    <s v="Yes"/>
    <x v="3"/>
    <s v="Recovered"/>
  </r>
  <r>
    <s v="P287"/>
    <x v="40"/>
    <x v="0"/>
    <x v="0"/>
    <x v="124"/>
    <x v="1"/>
    <x v="1"/>
    <s v="No"/>
    <x v="1"/>
    <s v="No reaction"/>
  </r>
  <r>
    <s v="P288"/>
    <x v="3"/>
    <x v="1"/>
    <x v="0"/>
    <x v="53"/>
    <x v="5"/>
    <x v="2"/>
    <s v="Yes"/>
    <x v="14"/>
    <s v="Improving"/>
  </r>
  <r>
    <s v="P289"/>
    <x v="40"/>
    <x v="1"/>
    <x v="4"/>
    <x v="144"/>
    <x v="1"/>
    <x v="1"/>
    <s v="No"/>
    <x v="1"/>
    <s v="No reaction"/>
  </r>
  <r>
    <s v="P290"/>
    <x v="26"/>
    <x v="0"/>
    <x v="1"/>
    <x v="17"/>
    <x v="1"/>
    <x v="1"/>
    <s v="No"/>
    <x v="1"/>
    <s v="No reaction"/>
  </r>
  <r>
    <s v="P291"/>
    <x v="54"/>
    <x v="1"/>
    <x v="1"/>
    <x v="6"/>
    <x v="3"/>
    <x v="2"/>
    <s v="Yes"/>
    <x v="8"/>
    <s v="Improving"/>
  </r>
  <r>
    <s v="P292"/>
    <x v="21"/>
    <x v="0"/>
    <x v="5"/>
    <x v="138"/>
    <x v="7"/>
    <x v="2"/>
    <s v="Yes"/>
    <x v="12"/>
    <s v="Referred"/>
  </r>
  <r>
    <s v="P293"/>
    <x v="43"/>
    <x v="0"/>
    <x v="6"/>
    <x v="73"/>
    <x v="1"/>
    <x v="1"/>
    <s v="No"/>
    <x v="1"/>
    <s v="No reaction"/>
  </r>
  <r>
    <s v="P294"/>
    <x v="52"/>
    <x v="1"/>
    <x v="1"/>
    <x v="25"/>
    <x v="1"/>
    <x v="1"/>
    <s v="No"/>
    <x v="1"/>
    <s v="No reaction"/>
  </r>
  <r>
    <s v="P295"/>
    <x v="48"/>
    <x v="0"/>
    <x v="4"/>
    <x v="111"/>
    <x v="1"/>
    <x v="1"/>
    <s v="No"/>
    <x v="1"/>
    <s v="No reaction"/>
  </r>
  <r>
    <s v="P296"/>
    <x v="62"/>
    <x v="1"/>
    <x v="6"/>
    <x v="108"/>
    <x v="1"/>
    <x v="1"/>
    <s v="No"/>
    <x v="1"/>
    <s v="No reaction"/>
  </r>
  <r>
    <s v="P297"/>
    <x v="0"/>
    <x v="1"/>
    <x v="0"/>
    <x v="128"/>
    <x v="1"/>
    <x v="1"/>
    <s v="No"/>
    <x v="1"/>
    <s v="No reaction"/>
  </r>
  <r>
    <s v="P298"/>
    <x v="49"/>
    <x v="0"/>
    <x v="1"/>
    <x v="10"/>
    <x v="0"/>
    <x v="3"/>
    <s v="Yes"/>
    <x v="3"/>
    <s v="Referred"/>
  </r>
  <r>
    <s v="P299"/>
    <x v="15"/>
    <x v="0"/>
    <x v="0"/>
    <x v="55"/>
    <x v="1"/>
    <x v="1"/>
    <s v="No"/>
    <x v="1"/>
    <s v="No reaction"/>
  </r>
  <r>
    <s v="P300"/>
    <x v="51"/>
    <x v="0"/>
    <x v="1"/>
    <x v="139"/>
    <x v="7"/>
    <x v="0"/>
    <s v="Yes"/>
    <x v="12"/>
    <s v="Recover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5A5A38-F4E6-4914-876C-1A3EC71E9E6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17:C21" firstHeaderRow="1" firstDataRow="1" firstDataCol="1"/>
  <pivotFields count="12">
    <pivotField dataField="1"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numFmtId="164" showAll="0">
      <items count="146">
        <item x="63"/>
        <item x="35"/>
        <item x="85"/>
        <item x="139"/>
        <item x="73"/>
        <item x="120"/>
        <item x="95"/>
        <item x="54"/>
        <item x="97"/>
        <item x="14"/>
        <item x="25"/>
        <item x="44"/>
        <item x="64"/>
        <item x="3"/>
        <item x="31"/>
        <item x="61"/>
        <item x="118"/>
        <item x="77"/>
        <item x="8"/>
        <item x="28"/>
        <item x="98"/>
        <item x="109"/>
        <item x="116"/>
        <item x="11"/>
        <item x="50"/>
        <item x="29"/>
        <item x="96"/>
        <item x="104"/>
        <item x="19"/>
        <item x="0"/>
        <item x="122"/>
        <item x="27"/>
        <item x="81"/>
        <item x="5"/>
        <item x="6"/>
        <item x="114"/>
        <item x="102"/>
        <item x="144"/>
        <item x="20"/>
        <item x="23"/>
        <item x="112"/>
        <item x="99"/>
        <item x="94"/>
        <item x="34"/>
        <item x="87"/>
        <item x="100"/>
        <item x="36"/>
        <item x="89"/>
        <item x="37"/>
        <item x="56"/>
        <item x="32"/>
        <item x="117"/>
        <item x="53"/>
        <item x="115"/>
        <item x="82"/>
        <item x="134"/>
        <item x="137"/>
        <item x="4"/>
        <item x="83"/>
        <item x="76"/>
        <item x="75"/>
        <item x="22"/>
        <item x="16"/>
        <item x="12"/>
        <item x="13"/>
        <item x="106"/>
        <item x="93"/>
        <item x="70"/>
        <item x="41"/>
        <item x="49"/>
        <item x="57"/>
        <item x="45"/>
        <item x="90"/>
        <item x="65"/>
        <item x="138"/>
        <item x="110"/>
        <item x="140"/>
        <item x="18"/>
        <item x="103"/>
        <item x="113"/>
        <item x="43"/>
        <item x="128"/>
        <item x="52"/>
        <item x="62"/>
        <item x="7"/>
        <item x="58"/>
        <item x="40"/>
        <item x="42"/>
        <item x="66"/>
        <item x="131"/>
        <item x="46"/>
        <item x="130"/>
        <item x="132"/>
        <item x="33"/>
        <item x="71"/>
        <item x="15"/>
        <item x="124"/>
        <item x="101"/>
        <item x="92"/>
        <item x="126"/>
        <item x="21"/>
        <item x="119"/>
        <item x="51"/>
        <item x="111"/>
        <item x="47"/>
        <item x="142"/>
        <item x="127"/>
        <item x="60"/>
        <item x="69"/>
        <item x="80"/>
        <item x="84"/>
        <item x="91"/>
        <item x="105"/>
        <item x="10"/>
        <item x="108"/>
        <item x="72"/>
        <item x="88"/>
        <item x="143"/>
        <item x="2"/>
        <item x="141"/>
        <item x="125"/>
        <item x="26"/>
        <item x="68"/>
        <item x="48"/>
        <item x="86"/>
        <item x="79"/>
        <item x="59"/>
        <item x="123"/>
        <item x="30"/>
        <item x="133"/>
        <item x="121"/>
        <item x="107"/>
        <item x="78"/>
        <item x="67"/>
        <item x="24"/>
        <item x="55"/>
        <item x="135"/>
        <item x="38"/>
        <item x="136"/>
        <item x="74"/>
        <item x="1"/>
        <item x="129"/>
        <item x="9"/>
        <item x="39"/>
        <item x="17"/>
        <item t="default"/>
      </items>
    </pivotField>
    <pivotField showAll="0"/>
    <pivotField axis="axisRow" showAll="0">
      <items count="5">
        <item x="2"/>
        <item x="0"/>
        <item h="1" x="1"/>
        <item x="3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Count of Patient_ID" fld="0" subtotal="count" baseField="0" baseItem="0"/>
  </dataFields>
  <chartFormats count="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A6E0E7-D555-487B-9F81-E5434620937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3:M13" firstHeaderRow="1" firstDataRow="2" firstDataCol="1"/>
  <pivotFields count="12">
    <pivotField dataField="1"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Row" showAll="0">
      <items count="9">
        <item x="1"/>
        <item x="6"/>
        <item x="4"/>
        <item x="7"/>
        <item x="0"/>
        <item x="2"/>
        <item x="3"/>
        <item x="5"/>
        <item t="default"/>
      </items>
    </pivotField>
    <pivotField numFmtId="164" showAll="0">
      <items count="146">
        <item x="63"/>
        <item x="35"/>
        <item x="85"/>
        <item x="139"/>
        <item x="73"/>
        <item x="120"/>
        <item x="95"/>
        <item x="54"/>
        <item x="97"/>
        <item x="14"/>
        <item x="25"/>
        <item x="44"/>
        <item x="64"/>
        <item x="3"/>
        <item x="31"/>
        <item x="61"/>
        <item x="118"/>
        <item x="77"/>
        <item x="8"/>
        <item x="28"/>
        <item x="98"/>
        <item x="109"/>
        <item x="116"/>
        <item x="11"/>
        <item x="50"/>
        <item x="29"/>
        <item x="96"/>
        <item x="104"/>
        <item x="19"/>
        <item x="0"/>
        <item x="122"/>
        <item x="27"/>
        <item x="81"/>
        <item x="5"/>
        <item x="6"/>
        <item x="114"/>
        <item x="102"/>
        <item x="144"/>
        <item x="20"/>
        <item x="23"/>
        <item x="112"/>
        <item x="99"/>
        <item x="94"/>
        <item x="34"/>
        <item x="87"/>
        <item x="100"/>
        <item x="36"/>
        <item x="89"/>
        <item x="37"/>
        <item x="56"/>
        <item x="32"/>
        <item x="117"/>
        <item x="53"/>
        <item x="115"/>
        <item x="82"/>
        <item x="134"/>
        <item x="137"/>
        <item x="4"/>
        <item x="83"/>
        <item x="76"/>
        <item x="75"/>
        <item x="22"/>
        <item x="16"/>
        <item x="12"/>
        <item x="13"/>
        <item x="106"/>
        <item x="93"/>
        <item x="70"/>
        <item x="41"/>
        <item x="49"/>
        <item x="57"/>
        <item x="45"/>
        <item x="90"/>
        <item x="65"/>
        <item x="138"/>
        <item x="110"/>
        <item x="140"/>
        <item x="18"/>
        <item x="103"/>
        <item x="113"/>
        <item x="43"/>
        <item x="128"/>
        <item x="52"/>
        <item x="62"/>
        <item x="7"/>
        <item x="58"/>
        <item x="40"/>
        <item x="42"/>
        <item x="66"/>
        <item x="131"/>
        <item x="46"/>
        <item x="130"/>
        <item x="132"/>
        <item x="33"/>
        <item x="71"/>
        <item x="15"/>
        <item x="124"/>
        <item x="101"/>
        <item x="92"/>
        <item x="126"/>
        <item x="21"/>
        <item x="119"/>
        <item x="51"/>
        <item x="111"/>
        <item x="47"/>
        <item x="142"/>
        <item x="127"/>
        <item x="60"/>
        <item x="69"/>
        <item x="80"/>
        <item x="84"/>
        <item x="91"/>
        <item x="105"/>
        <item x="10"/>
        <item x="108"/>
        <item x="72"/>
        <item x="88"/>
        <item x="143"/>
        <item x="2"/>
        <item x="141"/>
        <item x="125"/>
        <item x="26"/>
        <item x="68"/>
        <item x="48"/>
        <item x="86"/>
        <item x="79"/>
        <item x="59"/>
        <item x="123"/>
        <item x="30"/>
        <item x="133"/>
        <item x="121"/>
        <item x="107"/>
        <item x="78"/>
        <item x="67"/>
        <item x="24"/>
        <item x="55"/>
        <item x="135"/>
        <item x="38"/>
        <item x="136"/>
        <item x="74"/>
        <item x="1"/>
        <item x="129"/>
        <item x="9"/>
        <item x="39"/>
        <item x="17"/>
        <item t="default"/>
      </items>
    </pivotField>
    <pivotField axis="axisCol" showAll="0">
      <items count="10">
        <item x="7"/>
        <item x="3"/>
        <item x="6"/>
        <item x="5"/>
        <item x="2"/>
        <item x="8"/>
        <item h="1" x="1"/>
        <item x="0"/>
        <item x="4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5"/>
  </colFields>
  <colItems count="9">
    <i>
      <x/>
    </i>
    <i>
      <x v="1"/>
    </i>
    <i>
      <x v="2"/>
    </i>
    <i>
      <x v="3"/>
    </i>
    <i>
      <x v="4"/>
    </i>
    <i>
      <x v="5"/>
    </i>
    <i>
      <x v="7"/>
    </i>
    <i>
      <x v="8"/>
    </i>
    <i t="grand">
      <x/>
    </i>
  </colItems>
  <dataFields count="1">
    <dataField name="Reported ADR" fld="0" subtotal="count" baseField="0" baseItem="0"/>
  </dataFields>
  <chartFormats count="8"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35E1AF-69A8-480B-A40D-52EB554D203F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9:B46" firstHeaderRow="1" firstDataRow="1" firstDataCol="1" rowPageCount="1" colPageCount="1"/>
  <pivotFields count="12">
    <pivotField dataField="1" showAll="0"/>
    <pivotField showAll="0"/>
    <pivotField showAll="0"/>
    <pivotField showAll="0"/>
    <pivotField axis="axisRow" numFmtId="164" showAll="0">
      <items count="146">
        <item x="63"/>
        <item x="35"/>
        <item x="85"/>
        <item x="139"/>
        <item x="73"/>
        <item x="120"/>
        <item x="95"/>
        <item x="54"/>
        <item x="97"/>
        <item x="14"/>
        <item x="25"/>
        <item x="44"/>
        <item x="64"/>
        <item x="3"/>
        <item x="31"/>
        <item x="61"/>
        <item x="118"/>
        <item x="77"/>
        <item x="8"/>
        <item x="28"/>
        <item x="98"/>
        <item x="109"/>
        <item x="116"/>
        <item x="11"/>
        <item x="50"/>
        <item x="29"/>
        <item x="96"/>
        <item x="104"/>
        <item x="19"/>
        <item x="0"/>
        <item x="122"/>
        <item x="27"/>
        <item x="81"/>
        <item x="5"/>
        <item x="6"/>
        <item x="114"/>
        <item x="102"/>
        <item x="144"/>
        <item x="20"/>
        <item x="23"/>
        <item x="112"/>
        <item x="99"/>
        <item x="94"/>
        <item x="34"/>
        <item x="87"/>
        <item x="100"/>
        <item x="36"/>
        <item x="89"/>
        <item x="37"/>
        <item x="56"/>
        <item x="32"/>
        <item x="117"/>
        <item x="53"/>
        <item x="115"/>
        <item x="82"/>
        <item x="134"/>
        <item x="137"/>
        <item x="4"/>
        <item x="83"/>
        <item x="76"/>
        <item x="75"/>
        <item x="22"/>
        <item x="16"/>
        <item x="12"/>
        <item x="13"/>
        <item x="106"/>
        <item x="93"/>
        <item x="70"/>
        <item x="41"/>
        <item x="49"/>
        <item x="57"/>
        <item x="45"/>
        <item x="90"/>
        <item x="65"/>
        <item x="138"/>
        <item x="110"/>
        <item x="140"/>
        <item x="18"/>
        <item x="103"/>
        <item x="113"/>
        <item x="43"/>
        <item x="128"/>
        <item x="52"/>
        <item x="62"/>
        <item x="7"/>
        <item x="58"/>
        <item x="40"/>
        <item x="42"/>
        <item x="66"/>
        <item x="131"/>
        <item x="46"/>
        <item x="130"/>
        <item x="132"/>
        <item x="33"/>
        <item x="71"/>
        <item x="15"/>
        <item x="124"/>
        <item x="101"/>
        <item x="92"/>
        <item x="126"/>
        <item x="21"/>
        <item x="119"/>
        <item x="51"/>
        <item x="111"/>
        <item x="47"/>
        <item x="142"/>
        <item x="127"/>
        <item x="60"/>
        <item x="69"/>
        <item x="80"/>
        <item x="84"/>
        <item x="91"/>
        <item x="105"/>
        <item x="10"/>
        <item x="108"/>
        <item x="72"/>
        <item x="88"/>
        <item x="143"/>
        <item x="2"/>
        <item x="141"/>
        <item x="125"/>
        <item x="26"/>
        <item x="68"/>
        <item x="48"/>
        <item x="86"/>
        <item x="79"/>
        <item x="59"/>
        <item x="123"/>
        <item x="30"/>
        <item x="133"/>
        <item x="121"/>
        <item x="107"/>
        <item x="78"/>
        <item x="67"/>
        <item x="24"/>
        <item x="55"/>
        <item x="135"/>
        <item x="38"/>
        <item x="136"/>
        <item x="74"/>
        <item x="1"/>
        <item x="129"/>
        <item x="9"/>
        <item x="39"/>
        <item x="17"/>
        <item t="default"/>
      </items>
    </pivotField>
    <pivotField axis="axisPage" multipleItemSelectionAllowed="1" showAll="0">
      <items count="10">
        <item x="7"/>
        <item x="3"/>
        <item x="6"/>
        <item x="5"/>
        <item x="2"/>
        <item x="8"/>
        <item h="1" x="1"/>
        <item x="0"/>
        <item x="4"/>
        <item t="default"/>
      </items>
    </pivotField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4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5" hier="-1"/>
  </pageFields>
  <dataFields count="1">
    <dataField name="Count of Patient_ID" fld="0" subtotal="count" baseField="0" baseItem="0"/>
  </dataFields>
  <chartFormats count="4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08DA8-77A7-41E8-BE22-CF9D7A49DADB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I27:J42" firstHeaderRow="1" firstDataRow="1" firstDataCol="1" rowPageCount="1" colPageCount="1"/>
  <pivotFields count="12">
    <pivotField dataField="1" showAll="0"/>
    <pivotField showAll="0"/>
    <pivotField showAll="0"/>
    <pivotField showAll="0"/>
    <pivotField numFmtId="164" showAll="0">
      <items count="146">
        <item x="63"/>
        <item x="35"/>
        <item x="85"/>
        <item x="139"/>
        <item x="73"/>
        <item x="120"/>
        <item x="95"/>
        <item x="54"/>
        <item x="97"/>
        <item x="14"/>
        <item x="25"/>
        <item x="44"/>
        <item x="64"/>
        <item x="3"/>
        <item x="31"/>
        <item x="61"/>
        <item x="118"/>
        <item x="77"/>
        <item x="8"/>
        <item x="28"/>
        <item x="98"/>
        <item x="109"/>
        <item x="116"/>
        <item x="11"/>
        <item x="50"/>
        <item x="29"/>
        <item x="96"/>
        <item x="104"/>
        <item x="19"/>
        <item x="0"/>
        <item x="122"/>
        <item x="27"/>
        <item x="81"/>
        <item x="5"/>
        <item x="6"/>
        <item x="114"/>
        <item x="102"/>
        <item x="144"/>
        <item x="20"/>
        <item x="23"/>
        <item x="112"/>
        <item x="99"/>
        <item x="94"/>
        <item x="34"/>
        <item x="87"/>
        <item x="100"/>
        <item x="36"/>
        <item x="89"/>
        <item x="37"/>
        <item x="56"/>
        <item x="32"/>
        <item x="117"/>
        <item x="53"/>
        <item x="115"/>
        <item x="82"/>
        <item x="134"/>
        <item x="137"/>
        <item x="4"/>
        <item x="83"/>
        <item x="76"/>
        <item x="75"/>
        <item x="22"/>
        <item x="16"/>
        <item x="12"/>
        <item x="13"/>
        <item x="106"/>
        <item x="93"/>
        <item x="70"/>
        <item x="41"/>
        <item x="49"/>
        <item x="57"/>
        <item x="45"/>
        <item x="90"/>
        <item x="65"/>
        <item x="138"/>
        <item x="110"/>
        <item x="140"/>
        <item x="18"/>
        <item x="103"/>
        <item x="113"/>
        <item x="43"/>
        <item x="128"/>
        <item x="52"/>
        <item x="62"/>
        <item x="7"/>
        <item x="58"/>
        <item x="40"/>
        <item x="42"/>
        <item x="66"/>
        <item x="131"/>
        <item x="46"/>
        <item x="130"/>
        <item x="132"/>
        <item x="33"/>
        <item x="71"/>
        <item x="15"/>
        <item x="124"/>
        <item x="101"/>
        <item x="92"/>
        <item x="126"/>
        <item x="21"/>
        <item x="119"/>
        <item x="51"/>
        <item x="111"/>
        <item x="47"/>
        <item x="142"/>
        <item x="127"/>
        <item x="60"/>
        <item x="69"/>
        <item x="80"/>
        <item x="84"/>
        <item x="91"/>
        <item x="105"/>
        <item x="10"/>
        <item x="108"/>
        <item x="72"/>
        <item x="88"/>
        <item x="143"/>
        <item x="2"/>
        <item x="141"/>
        <item x="125"/>
        <item x="26"/>
        <item x="68"/>
        <item x="48"/>
        <item x="86"/>
        <item x="79"/>
        <item x="59"/>
        <item x="123"/>
        <item x="30"/>
        <item x="133"/>
        <item x="121"/>
        <item x="107"/>
        <item x="78"/>
        <item x="67"/>
        <item x="24"/>
        <item x="55"/>
        <item x="135"/>
        <item x="38"/>
        <item x="136"/>
        <item x="74"/>
        <item x="1"/>
        <item x="129"/>
        <item x="9"/>
        <item x="39"/>
        <item x="17"/>
        <item t="default"/>
      </items>
    </pivotField>
    <pivotField axis="axisPage" multipleItemSelectionAllowed="1" showAll="0">
      <items count="10">
        <item x="7"/>
        <item x="3"/>
        <item x="6"/>
        <item x="5"/>
        <item x="2"/>
        <item x="8"/>
        <item h="1" x="1"/>
        <item x="0"/>
        <item x="4"/>
        <item t="default"/>
      </items>
    </pivotField>
    <pivotField showAll="0"/>
    <pivotField showAll="0"/>
    <pivotField axis="axisRow" showAll="0" sortType="descending">
      <items count="16">
        <item x="10"/>
        <item x="5"/>
        <item x="8"/>
        <item x="7"/>
        <item x="13"/>
        <item x="9"/>
        <item x="11"/>
        <item x="3"/>
        <item x="12"/>
        <item x="14"/>
        <item x="2"/>
        <item x="0"/>
        <item x="6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15">
    <i>
      <x v="1"/>
    </i>
    <i>
      <x v="11"/>
    </i>
    <i>
      <x v="8"/>
    </i>
    <i>
      <x/>
    </i>
    <i>
      <x v="6"/>
    </i>
    <i>
      <x v="7"/>
    </i>
    <i>
      <x v="3"/>
    </i>
    <i>
      <x v="12"/>
    </i>
    <i>
      <x v="10"/>
    </i>
    <i>
      <x v="13"/>
    </i>
    <i>
      <x v="2"/>
    </i>
    <i>
      <x v="9"/>
    </i>
    <i>
      <x v="4"/>
    </i>
    <i>
      <x v="5"/>
    </i>
    <i t="grand">
      <x/>
    </i>
  </rowItems>
  <colItems count="1">
    <i/>
  </colItems>
  <pageFields count="1">
    <pageField fld="5" hier="-1"/>
  </pageFields>
  <dataFields count="1">
    <dataField name="Count of Patient_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9FDF2-C87F-4BA8-948F-38DF99B54DF6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B28:C31" firstHeaderRow="1" firstDataRow="1" firstDataCol="1" rowPageCount="1" colPageCount="1"/>
  <pivotFields count="12">
    <pivotField showAll="0"/>
    <pivotField dataFiel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numFmtId="164" showAll="0">
      <items count="146">
        <item x="63"/>
        <item x="35"/>
        <item x="85"/>
        <item x="139"/>
        <item x="73"/>
        <item x="120"/>
        <item x="95"/>
        <item x="54"/>
        <item x="97"/>
        <item x="14"/>
        <item x="25"/>
        <item x="44"/>
        <item x="64"/>
        <item x="3"/>
        <item x="31"/>
        <item x="61"/>
        <item x="118"/>
        <item x="77"/>
        <item x="8"/>
        <item x="28"/>
        <item x="98"/>
        <item x="109"/>
        <item x="116"/>
        <item x="11"/>
        <item x="50"/>
        <item x="29"/>
        <item x="96"/>
        <item x="104"/>
        <item x="19"/>
        <item x="0"/>
        <item x="122"/>
        <item x="27"/>
        <item x="81"/>
        <item x="5"/>
        <item x="6"/>
        <item x="114"/>
        <item x="102"/>
        <item x="144"/>
        <item x="20"/>
        <item x="23"/>
        <item x="112"/>
        <item x="99"/>
        <item x="94"/>
        <item x="34"/>
        <item x="87"/>
        <item x="100"/>
        <item x="36"/>
        <item x="89"/>
        <item x="37"/>
        <item x="56"/>
        <item x="32"/>
        <item x="117"/>
        <item x="53"/>
        <item x="115"/>
        <item x="82"/>
        <item x="134"/>
        <item x="137"/>
        <item x="4"/>
        <item x="83"/>
        <item x="76"/>
        <item x="75"/>
        <item x="22"/>
        <item x="16"/>
        <item x="12"/>
        <item x="13"/>
        <item x="106"/>
        <item x="93"/>
        <item x="70"/>
        <item x="41"/>
        <item x="49"/>
        <item x="57"/>
        <item x="45"/>
        <item x="90"/>
        <item x="65"/>
        <item x="138"/>
        <item x="110"/>
        <item x="140"/>
        <item x="18"/>
        <item x="103"/>
        <item x="113"/>
        <item x="43"/>
        <item x="128"/>
        <item x="52"/>
        <item x="62"/>
        <item x="7"/>
        <item x="58"/>
        <item x="40"/>
        <item x="42"/>
        <item x="66"/>
        <item x="131"/>
        <item x="46"/>
        <item x="130"/>
        <item x="132"/>
        <item x="33"/>
        <item x="71"/>
        <item x="15"/>
        <item x="124"/>
        <item x="101"/>
        <item x="92"/>
        <item x="126"/>
        <item x="21"/>
        <item x="119"/>
        <item x="51"/>
        <item x="111"/>
        <item x="47"/>
        <item x="142"/>
        <item x="127"/>
        <item x="60"/>
        <item x="69"/>
        <item x="80"/>
        <item x="84"/>
        <item x="91"/>
        <item x="105"/>
        <item x="10"/>
        <item x="108"/>
        <item x="72"/>
        <item x="88"/>
        <item x="143"/>
        <item x="2"/>
        <item x="141"/>
        <item x="125"/>
        <item x="26"/>
        <item x="68"/>
        <item x="48"/>
        <item x="86"/>
        <item x="79"/>
        <item x="59"/>
        <item x="123"/>
        <item x="30"/>
        <item x="133"/>
        <item x="121"/>
        <item x="107"/>
        <item x="78"/>
        <item x="67"/>
        <item x="24"/>
        <item x="55"/>
        <item x="135"/>
        <item x="38"/>
        <item x="136"/>
        <item x="74"/>
        <item x="1"/>
        <item x="129"/>
        <item x="9"/>
        <item x="39"/>
        <item x="17"/>
        <item t="default"/>
      </items>
    </pivotField>
    <pivotField axis="axisPage" multipleItemSelectionAllowed="1" showAll="0">
      <items count="10">
        <item x="7"/>
        <item x="3"/>
        <item x="6"/>
        <item x="5"/>
        <item x="2"/>
        <item x="8"/>
        <item h="1" x="1"/>
        <item x="0"/>
        <item x="4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5" hier="-1"/>
  </pageFields>
  <dataFields count="1">
    <dataField name="Count of Age" fld="1" subtotal="count" baseField="0" baseItem="0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273C8A-B812-4E90-8C22-4F6CA286158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18:F26" firstHeaderRow="1" firstDataRow="1" firstDataCol="1" rowPageCount="1" colPageCount="1"/>
  <pivotFields count="12">
    <pivotField dataField="1" showAll="0"/>
    <pivotField axis="axisRow" showAll="0" sortType="de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>
      <items count="146">
        <item x="63"/>
        <item x="35"/>
        <item x="85"/>
        <item x="139"/>
        <item x="73"/>
        <item x="120"/>
        <item x="95"/>
        <item x="54"/>
        <item x="97"/>
        <item x="14"/>
        <item x="25"/>
        <item x="44"/>
        <item x="64"/>
        <item x="3"/>
        <item x="31"/>
        <item x="61"/>
        <item x="118"/>
        <item x="77"/>
        <item x="8"/>
        <item x="28"/>
        <item x="98"/>
        <item x="109"/>
        <item x="116"/>
        <item x="11"/>
        <item x="50"/>
        <item x="29"/>
        <item x="96"/>
        <item x="104"/>
        <item x="19"/>
        <item x="0"/>
        <item x="122"/>
        <item x="27"/>
        <item x="81"/>
        <item x="5"/>
        <item x="6"/>
        <item x="114"/>
        <item x="102"/>
        <item x="144"/>
        <item x="20"/>
        <item x="23"/>
        <item x="112"/>
        <item x="99"/>
        <item x="94"/>
        <item x="34"/>
        <item x="87"/>
        <item x="100"/>
        <item x="36"/>
        <item x="89"/>
        <item x="37"/>
        <item x="56"/>
        <item x="32"/>
        <item x="117"/>
        <item x="53"/>
        <item x="115"/>
        <item x="82"/>
        <item x="134"/>
        <item x="137"/>
        <item x="4"/>
        <item x="83"/>
        <item x="76"/>
        <item x="75"/>
        <item x="22"/>
        <item x="16"/>
        <item x="12"/>
        <item x="13"/>
        <item x="106"/>
        <item x="93"/>
        <item x="70"/>
        <item x="41"/>
        <item x="49"/>
        <item x="57"/>
        <item x="45"/>
        <item x="90"/>
        <item x="65"/>
        <item x="138"/>
        <item x="110"/>
        <item x="140"/>
        <item x="18"/>
        <item x="103"/>
        <item x="113"/>
        <item x="43"/>
        <item x="128"/>
        <item x="52"/>
        <item x="62"/>
        <item x="7"/>
        <item x="58"/>
        <item x="40"/>
        <item x="42"/>
        <item x="66"/>
        <item x="131"/>
        <item x="46"/>
        <item x="130"/>
        <item x="132"/>
        <item x="33"/>
        <item x="71"/>
        <item x="15"/>
        <item x="124"/>
        <item x="101"/>
        <item x="92"/>
        <item x="126"/>
        <item x="21"/>
        <item x="119"/>
        <item x="51"/>
        <item x="111"/>
        <item x="47"/>
        <item x="142"/>
        <item x="127"/>
        <item x="60"/>
        <item x="69"/>
        <item x="80"/>
        <item x="84"/>
        <item x="91"/>
        <item x="105"/>
        <item x="10"/>
        <item x="108"/>
        <item x="72"/>
        <item x="88"/>
        <item x="143"/>
        <item x="2"/>
        <item x="141"/>
        <item x="125"/>
        <item x="26"/>
        <item x="68"/>
        <item x="48"/>
        <item x="86"/>
        <item x="79"/>
        <item x="59"/>
        <item x="123"/>
        <item x="30"/>
        <item x="133"/>
        <item x="121"/>
        <item x="107"/>
        <item x="78"/>
        <item x="67"/>
        <item x="24"/>
        <item x="55"/>
        <item x="135"/>
        <item x="38"/>
        <item x="136"/>
        <item x="74"/>
        <item x="1"/>
        <item x="129"/>
        <item x="9"/>
        <item x="39"/>
        <item x="17"/>
        <item t="default"/>
      </items>
    </pivotField>
    <pivotField axis="axisPage" multipleItemSelectionAllowed="1" showAll="0">
      <items count="10">
        <item x="7"/>
        <item x="3"/>
        <item x="6"/>
        <item x="5"/>
        <item x="2"/>
        <item x="8"/>
        <item h="1" x="1"/>
        <item x="0"/>
        <item x="4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8">
    <i>
      <x v="2"/>
    </i>
    <i>
      <x v="3"/>
    </i>
    <i>
      <x v="5"/>
    </i>
    <i>
      <x v="4"/>
    </i>
    <i>
      <x v="6"/>
    </i>
    <i>
      <x v="1"/>
    </i>
    <i>
      <x v="7"/>
    </i>
    <i t="grand">
      <x/>
    </i>
  </rowItems>
  <colItems count="1">
    <i/>
  </colItems>
  <pageFields count="1">
    <pageField fld="5" hier="-1"/>
  </pageFields>
  <dataFields count="1">
    <dataField name="Count of Patient_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9F76DF-C65D-4370-BC99-AF9E59E2339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2" firstHeaderRow="1" firstDataRow="1" firstDataCol="1" rowPageCount="1" colPageCount="1"/>
  <pivotFields count="12">
    <pivotField dataField="1"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Row" showAll="0" sortType="descending">
      <items count="9">
        <item x="1"/>
        <item x="6"/>
        <item x="4"/>
        <item x="7"/>
        <item x="0"/>
        <item x="2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>
      <items count="146">
        <item x="63"/>
        <item x="35"/>
        <item x="85"/>
        <item x="139"/>
        <item x="73"/>
        <item x="120"/>
        <item x="95"/>
        <item x="54"/>
        <item x="97"/>
        <item x="14"/>
        <item x="25"/>
        <item x="44"/>
        <item x="64"/>
        <item x="3"/>
        <item x="31"/>
        <item x="61"/>
        <item x="118"/>
        <item x="77"/>
        <item x="8"/>
        <item x="28"/>
        <item x="98"/>
        <item x="109"/>
        <item x="116"/>
        <item x="11"/>
        <item x="50"/>
        <item x="29"/>
        <item x="96"/>
        <item x="104"/>
        <item x="19"/>
        <item x="0"/>
        <item x="122"/>
        <item x="27"/>
        <item x="81"/>
        <item x="5"/>
        <item x="6"/>
        <item x="114"/>
        <item x="102"/>
        <item x="144"/>
        <item x="20"/>
        <item x="23"/>
        <item x="112"/>
        <item x="99"/>
        <item x="94"/>
        <item x="34"/>
        <item x="87"/>
        <item x="100"/>
        <item x="36"/>
        <item x="89"/>
        <item x="37"/>
        <item x="56"/>
        <item x="32"/>
        <item x="117"/>
        <item x="53"/>
        <item x="115"/>
        <item x="82"/>
        <item x="134"/>
        <item x="137"/>
        <item x="4"/>
        <item x="83"/>
        <item x="76"/>
        <item x="75"/>
        <item x="22"/>
        <item x="16"/>
        <item x="12"/>
        <item x="13"/>
        <item x="106"/>
        <item x="93"/>
        <item x="70"/>
        <item x="41"/>
        <item x="49"/>
        <item x="57"/>
        <item x="45"/>
        <item x="90"/>
        <item x="65"/>
        <item x="138"/>
        <item x="110"/>
        <item x="140"/>
        <item x="18"/>
        <item x="103"/>
        <item x="113"/>
        <item x="43"/>
        <item x="128"/>
        <item x="52"/>
        <item x="62"/>
        <item x="7"/>
        <item x="58"/>
        <item x="40"/>
        <item x="42"/>
        <item x="66"/>
        <item x="131"/>
        <item x="46"/>
        <item x="130"/>
        <item x="132"/>
        <item x="33"/>
        <item x="71"/>
        <item x="15"/>
        <item x="124"/>
        <item x="101"/>
        <item x="92"/>
        <item x="126"/>
        <item x="21"/>
        <item x="119"/>
        <item x="51"/>
        <item x="111"/>
        <item x="47"/>
        <item x="142"/>
        <item x="127"/>
        <item x="60"/>
        <item x="69"/>
        <item x="80"/>
        <item x="84"/>
        <item x="91"/>
        <item x="105"/>
        <item x="10"/>
        <item x="108"/>
        <item x="72"/>
        <item x="88"/>
        <item x="143"/>
        <item x="2"/>
        <item x="141"/>
        <item x="125"/>
        <item x="26"/>
        <item x="68"/>
        <item x="48"/>
        <item x="86"/>
        <item x="79"/>
        <item x="59"/>
        <item x="123"/>
        <item x="30"/>
        <item x="133"/>
        <item x="121"/>
        <item x="107"/>
        <item x="78"/>
        <item x="67"/>
        <item x="24"/>
        <item x="55"/>
        <item x="135"/>
        <item x="38"/>
        <item x="136"/>
        <item x="74"/>
        <item x="1"/>
        <item x="129"/>
        <item x="9"/>
        <item x="39"/>
        <item x="17"/>
        <item t="default"/>
      </items>
    </pivotField>
    <pivotField axis="axisPage" multipleItemSelectionAllowed="1" showAll="0">
      <items count="10">
        <item x="7"/>
        <item x="3"/>
        <item x="6"/>
        <item x="5"/>
        <item x="2"/>
        <item x="8"/>
        <item h="1" x="1"/>
        <item x="0"/>
        <item x="4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9">
    <i>
      <x v="1"/>
    </i>
    <i>
      <x v="4"/>
    </i>
    <i>
      <x v="6"/>
    </i>
    <i>
      <x v="2"/>
    </i>
    <i>
      <x v="3"/>
    </i>
    <i>
      <x v="5"/>
    </i>
    <i>
      <x/>
    </i>
    <i>
      <x v="7"/>
    </i>
    <i t="grand">
      <x/>
    </i>
  </rowItems>
  <colItems count="1">
    <i/>
  </colItems>
  <pageFields count="1">
    <pageField fld="5" hier="-1"/>
  </pageFields>
  <dataFields count="1">
    <dataField name="Count of Reported ADR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4AADAB-6CC3-429E-8A22-F6C834A2A2C0}" name="Table2" displayName="Table2" ref="A1:J301" totalsRowShown="0">
  <autoFilter ref="A1:J301" xr:uid="{1E4AADAB-6CC3-429E-8A22-F6C834A2A2C0}"/>
  <tableColumns count="10">
    <tableColumn id="1" xr3:uid="{760027EF-51B0-4BB5-A162-8336C5B478FC}" name="Patient_ID"/>
    <tableColumn id="2" xr3:uid="{5FE21D8B-E945-4536-8FF3-1C11CBEDE7AF}" name="Age"/>
    <tableColumn id="3" xr3:uid="{5A8F9F12-C0C0-495A-9F22-1207C813A1AD}" name="Gender"/>
    <tableColumn id="4" xr3:uid="{4F0E6387-892D-420F-BF0C-093F0B8D8C47}" name="Medication"/>
    <tableColumn id="5" xr3:uid="{BB1DBCF4-BA0D-41A8-A518-BCA541350AA2}" name="Start_Date" dataDxfId="0"/>
    <tableColumn id="6" xr3:uid="{ABE4099C-71AB-4CFD-AE04-691C8418968F}" name="Symptom"/>
    <tableColumn id="7" xr3:uid="{2F3CA895-C3C3-43B2-B834-AF92723DB6CC}" name="Severity"/>
    <tableColumn id="8" xr3:uid="{6A788405-5BA8-4F11-82C0-4576B6019B5A}" name="ADR_Reported"/>
    <tableColumn id="9" xr3:uid="{43BA3349-BA64-4E93-808F-096023144858}" name="Days_to_Reaction"/>
    <tableColumn id="10" xr3:uid="{A2DD9393-59F4-4C24-884C-D28641E97C9A}" name="Outcome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1"/>
  <sheetViews>
    <sheetView tabSelected="1" topLeftCell="A2" workbookViewId="0">
      <selection activeCell="D13" sqref="D13"/>
    </sheetView>
  </sheetViews>
  <sheetFormatPr defaultRowHeight="14.4" x14ac:dyDescent="0.3"/>
  <cols>
    <col min="1" max="1" width="11.6640625" customWidth="1"/>
    <col min="2" max="2" width="6.44140625" bestFit="1" customWidth="1"/>
    <col min="3" max="3" width="12.109375" bestFit="1" customWidth="1"/>
    <col min="4" max="4" width="12.77734375" bestFit="1" customWidth="1"/>
    <col min="5" max="5" width="12.77734375" customWidth="1"/>
    <col min="6" max="6" width="18.21875" customWidth="1"/>
    <col min="7" max="7" width="18" customWidth="1"/>
    <col min="8" max="8" width="14.109375" customWidth="1"/>
    <col min="9" max="9" width="15.21875" customWidth="1"/>
    <col min="10" max="10" width="18" customWidth="1"/>
    <col min="11" max="11" width="15.88671875" customWidth="1"/>
    <col min="12" max="12" width="27.44140625" customWidth="1"/>
    <col min="13" max="13" width="1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3">
      <c r="A2" t="s">
        <v>10</v>
      </c>
      <c r="B2">
        <v>18</v>
      </c>
      <c r="C2" t="s">
        <v>11</v>
      </c>
      <c r="D2" t="s">
        <v>12</v>
      </c>
      <c r="E2" s="1">
        <v>46057</v>
      </c>
      <c r="F2" t="s">
        <v>13</v>
      </c>
      <c r="G2" t="s">
        <v>14</v>
      </c>
      <c r="H2" t="s">
        <v>15</v>
      </c>
      <c r="I2">
        <v>12</v>
      </c>
      <c r="J2" t="s">
        <v>16</v>
      </c>
    </row>
    <row r="3" spans="1:13" x14ac:dyDescent="0.3">
      <c r="A3" t="s">
        <v>17</v>
      </c>
      <c r="B3">
        <v>44</v>
      </c>
      <c r="C3" t="s">
        <v>11</v>
      </c>
      <c r="D3" t="s">
        <v>18</v>
      </c>
      <c r="E3" s="1">
        <v>46197</v>
      </c>
      <c r="F3" t="s">
        <v>19</v>
      </c>
      <c r="G3" t="s">
        <v>19</v>
      </c>
      <c r="H3" t="s">
        <v>20</v>
      </c>
      <c r="J3" t="s">
        <v>21</v>
      </c>
    </row>
    <row r="4" spans="1:13" x14ac:dyDescent="0.3">
      <c r="A4" t="s">
        <v>22</v>
      </c>
      <c r="B4">
        <v>48</v>
      </c>
      <c r="C4" t="s">
        <v>11</v>
      </c>
      <c r="D4" t="s">
        <v>23</v>
      </c>
      <c r="E4" s="1">
        <v>46172</v>
      </c>
      <c r="F4" t="s">
        <v>19</v>
      </c>
      <c r="G4" t="s">
        <v>19</v>
      </c>
      <c r="H4" t="s">
        <v>20</v>
      </c>
      <c r="J4" t="s">
        <v>21</v>
      </c>
    </row>
    <row r="5" spans="1:13" ht="15.6" x14ac:dyDescent="0.3">
      <c r="A5" t="s">
        <v>24</v>
      </c>
      <c r="B5">
        <v>24</v>
      </c>
      <c r="C5" t="s">
        <v>25</v>
      </c>
      <c r="D5" t="s">
        <v>18</v>
      </c>
      <c r="E5" s="1">
        <v>46041</v>
      </c>
      <c r="F5" t="s">
        <v>19</v>
      </c>
      <c r="G5" t="s">
        <v>19</v>
      </c>
      <c r="H5" t="s">
        <v>20</v>
      </c>
      <c r="J5" t="s">
        <v>21</v>
      </c>
      <c r="L5" s="7" t="s">
        <v>346</v>
      </c>
      <c r="M5" s="2">
        <v>300</v>
      </c>
    </row>
    <row r="6" spans="1:13" x14ac:dyDescent="0.3">
      <c r="A6" t="s">
        <v>26</v>
      </c>
      <c r="B6">
        <v>76</v>
      </c>
      <c r="C6" t="s">
        <v>11</v>
      </c>
      <c r="D6" t="s">
        <v>27</v>
      </c>
      <c r="E6" s="1">
        <v>46092</v>
      </c>
      <c r="F6" t="s">
        <v>19</v>
      </c>
      <c r="G6" t="s">
        <v>19</v>
      </c>
      <c r="H6" t="s">
        <v>20</v>
      </c>
      <c r="J6" t="s">
        <v>21</v>
      </c>
      <c r="L6" s="2" t="s">
        <v>345</v>
      </c>
      <c r="M6" s="2">
        <v>167</v>
      </c>
    </row>
    <row r="7" spans="1:13" x14ac:dyDescent="0.3">
      <c r="A7" t="s">
        <v>28</v>
      </c>
      <c r="B7">
        <v>19</v>
      </c>
      <c r="C7" t="s">
        <v>11</v>
      </c>
      <c r="D7" t="s">
        <v>29</v>
      </c>
      <c r="E7" s="1">
        <v>46061</v>
      </c>
      <c r="F7" t="s">
        <v>19</v>
      </c>
      <c r="G7" t="s">
        <v>19</v>
      </c>
      <c r="H7" t="s">
        <v>20</v>
      </c>
      <c r="J7" t="s">
        <v>21</v>
      </c>
      <c r="L7" s="2" t="s">
        <v>344</v>
      </c>
      <c r="M7" s="2">
        <v>133</v>
      </c>
    </row>
    <row r="8" spans="1:13" x14ac:dyDescent="0.3">
      <c r="A8" t="s">
        <v>30</v>
      </c>
      <c r="B8">
        <v>54</v>
      </c>
      <c r="C8" t="s">
        <v>25</v>
      </c>
      <c r="D8" t="s">
        <v>18</v>
      </c>
      <c r="E8" s="1">
        <v>46062</v>
      </c>
      <c r="F8" t="s">
        <v>19</v>
      </c>
      <c r="G8" t="s">
        <v>19</v>
      </c>
      <c r="H8" t="s">
        <v>20</v>
      </c>
      <c r="J8" t="s">
        <v>21</v>
      </c>
      <c r="L8" s="2"/>
      <c r="M8" s="2"/>
    </row>
    <row r="9" spans="1:13" x14ac:dyDescent="0.3">
      <c r="A9" t="s">
        <v>31</v>
      </c>
      <c r="B9">
        <v>46</v>
      </c>
      <c r="C9" t="s">
        <v>25</v>
      </c>
      <c r="D9" t="s">
        <v>29</v>
      </c>
      <c r="E9" s="1">
        <v>46127</v>
      </c>
      <c r="F9" t="s">
        <v>19</v>
      </c>
      <c r="G9" t="s">
        <v>19</v>
      </c>
      <c r="H9" t="s">
        <v>20</v>
      </c>
      <c r="J9" t="s">
        <v>21</v>
      </c>
      <c r="L9" s="2" t="s">
        <v>347</v>
      </c>
      <c r="M9" s="3">
        <f>AVERAGEIF(F2:F301,"&lt;&gt;None",B2:B301)</f>
        <v>47.834586466165412</v>
      </c>
    </row>
    <row r="10" spans="1:13" x14ac:dyDescent="0.3">
      <c r="A10" t="s">
        <v>32</v>
      </c>
      <c r="B10">
        <v>26</v>
      </c>
      <c r="C10" t="s">
        <v>25</v>
      </c>
      <c r="D10" t="s">
        <v>33</v>
      </c>
      <c r="E10" s="1">
        <v>46046</v>
      </c>
      <c r="F10" t="s">
        <v>19</v>
      </c>
      <c r="G10" t="s">
        <v>19</v>
      </c>
      <c r="H10" t="s">
        <v>20</v>
      </c>
      <c r="J10" t="s">
        <v>21</v>
      </c>
      <c r="L10" s="2"/>
      <c r="M10" s="2"/>
    </row>
    <row r="11" spans="1:13" x14ac:dyDescent="0.3">
      <c r="A11" t="s">
        <v>34</v>
      </c>
      <c r="B11">
        <v>59</v>
      </c>
      <c r="C11" t="s">
        <v>11</v>
      </c>
      <c r="D11" t="s">
        <v>35</v>
      </c>
      <c r="E11" s="1">
        <v>46199</v>
      </c>
      <c r="F11" t="s">
        <v>36</v>
      </c>
      <c r="G11" t="s">
        <v>37</v>
      </c>
      <c r="H11" t="s">
        <v>15</v>
      </c>
      <c r="I11">
        <v>11</v>
      </c>
      <c r="J11" t="s">
        <v>16</v>
      </c>
      <c r="L11" s="2" t="s">
        <v>338</v>
      </c>
      <c r="M11" s="2">
        <f>COUNTA(_xlfn.UNIQUE(D2:D301))</f>
        <v>8</v>
      </c>
    </row>
    <row r="12" spans="1:13" x14ac:dyDescent="0.3">
      <c r="A12" t="s">
        <v>38</v>
      </c>
      <c r="B12">
        <v>70</v>
      </c>
      <c r="C12" t="s">
        <v>11</v>
      </c>
      <c r="D12" t="s">
        <v>39</v>
      </c>
      <c r="E12" s="1">
        <v>46165</v>
      </c>
      <c r="F12" t="s">
        <v>19</v>
      </c>
      <c r="G12" t="s">
        <v>19</v>
      </c>
      <c r="H12" t="s">
        <v>20</v>
      </c>
      <c r="J12" t="s">
        <v>21</v>
      </c>
      <c r="L12" s="2"/>
      <c r="M12" s="2"/>
    </row>
    <row r="13" spans="1:13" x14ac:dyDescent="0.3">
      <c r="A13" t="s">
        <v>40</v>
      </c>
      <c r="B13">
        <v>33</v>
      </c>
      <c r="C13" t="s">
        <v>11</v>
      </c>
      <c r="D13" t="s">
        <v>23</v>
      </c>
      <c r="E13" s="1">
        <v>46051</v>
      </c>
      <c r="F13" t="s">
        <v>41</v>
      </c>
      <c r="G13" t="s">
        <v>14</v>
      </c>
      <c r="H13" t="s">
        <v>15</v>
      </c>
      <c r="I13">
        <v>8</v>
      </c>
      <c r="J13" t="s">
        <v>42</v>
      </c>
      <c r="L13" s="2" t="s">
        <v>339</v>
      </c>
      <c r="M13" s="2">
        <f>COUNTIF(G:G,"Severe")</f>
        <v>12</v>
      </c>
    </row>
    <row r="14" spans="1:13" x14ac:dyDescent="0.3">
      <c r="A14" t="s">
        <v>43</v>
      </c>
      <c r="B14">
        <v>35</v>
      </c>
      <c r="C14" t="s">
        <v>25</v>
      </c>
      <c r="D14" t="s">
        <v>39</v>
      </c>
      <c r="E14" s="1">
        <v>46100</v>
      </c>
      <c r="F14" t="s">
        <v>19</v>
      </c>
      <c r="G14" t="s">
        <v>19</v>
      </c>
      <c r="H14" t="s">
        <v>20</v>
      </c>
      <c r="J14" t="s">
        <v>21</v>
      </c>
      <c r="L14" s="2"/>
      <c r="M14" s="2"/>
    </row>
    <row r="15" spans="1:13" x14ac:dyDescent="0.3">
      <c r="A15" t="s">
        <v>44</v>
      </c>
      <c r="B15">
        <v>37</v>
      </c>
      <c r="C15" t="s">
        <v>11</v>
      </c>
      <c r="D15" t="s">
        <v>23</v>
      </c>
      <c r="E15" s="1">
        <v>46101</v>
      </c>
      <c r="F15" t="s">
        <v>45</v>
      </c>
      <c r="G15" t="s">
        <v>14</v>
      </c>
      <c r="H15" t="s">
        <v>15</v>
      </c>
      <c r="I15">
        <v>14</v>
      </c>
      <c r="J15" t="s">
        <v>42</v>
      </c>
      <c r="L15" s="2" t="s">
        <v>348</v>
      </c>
      <c r="M15" s="6">
        <v>0.443</v>
      </c>
    </row>
    <row r="16" spans="1:13" x14ac:dyDescent="0.3">
      <c r="A16" t="s">
        <v>46</v>
      </c>
      <c r="B16">
        <v>25</v>
      </c>
      <c r="C16" t="s">
        <v>25</v>
      </c>
      <c r="D16" t="s">
        <v>27</v>
      </c>
      <c r="E16" s="1">
        <v>46165</v>
      </c>
      <c r="F16" t="s">
        <v>19</v>
      </c>
      <c r="G16" t="s">
        <v>19</v>
      </c>
      <c r="H16" t="s">
        <v>20</v>
      </c>
      <c r="J16" t="s">
        <v>21</v>
      </c>
    </row>
    <row r="17" spans="1:10" x14ac:dyDescent="0.3">
      <c r="A17" t="s">
        <v>47</v>
      </c>
      <c r="B17">
        <v>64</v>
      </c>
      <c r="C17" t="s">
        <v>25</v>
      </c>
      <c r="D17" t="s">
        <v>35</v>
      </c>
      <c r="E17" s="1">
        <v>46046</v>
      </c>
      <c r="F17" t="s">
        <v>45</v>
      </c>
      <c r="G17" t="s">
        <v>37</v>
      </c>
      <c r="H17" t="s">
        <v>15</v>
      </c>
      <c r="I17">
        <v>2</v>
      </c>
      <c r="J17" t="s">
        <v>48</v>
      </c>
    </row>
    <row r="18" spans="1:10" x14ac:dyDescent="0.3">
      <c r="A18" t="s">
        <v>49</v>
      </c>
      <c r="B18">
        <v>31</v>
      </c>
      <c r="C18" t="s">
        <v>25</v>
      </c>
      <c r="D18" t="s">
        <v>12</v>
      </c>
      <c r="E18" s="1">
        <v>46041</v>
      </c>
      <c r="F18" t="s">
        <v>19</v>
      </c>
      <c r="G18" t="s">
        <v>19</v>
      </c>
      <c r="H18" t="s">
        <v>20</v>
      </c>
      <c r="J18" t="s">
        <v>21</v>
      </c>
    </row>
    <row r="19" spans="1:10" x14ac:dyDescent="0.3">
      <c r="A19" t="s">
        <v>50</v>
      </c>
      <c r="B19">
        <v>44</v>
      </c>
      <c r="C19" t="s">
        <v>25</v>
      </c>
      <c r="D19" t="s">
        <v>35</v>
      </c>
      <c r="E19" s="1">
        <v>46036</v>
      </c>
      <c r="F19" t="s">
        <v>13</v>
      </c>
      <c r="G19" t="s">
        <v>37</v>
      </c>
      <c r="H19" t="s">
        <v>15</v>
      </c>
      <c r="I19">
        <v>12</v>
      </c>
      <c r="J19" t="s">
        <v>16</v>
      </c>
    </row>
    <row r="20" spans="1:10" x14ac:dyDescent="0.3">
      <c r="A20" t="s">
        <v>51</v>
      </c>
      <c r="B20">
        <v>37</v>
      </c>
      <c r="C20" t="s">
        <v>11</v>
      </c>
      <c r="D20" t="s">
        <v>35</v>
      </c>
      <c r="E20" s="1">
        <v>46142</v>
      </c>
      <c r="F20" t="s">
        <v>52</v>
      </c>
      <c r="G20" t="s">
        <v>37</v>
      </c>
      <c r="H20" t="s">
        <v>15</v>
      </c>
      <c r="I20">
        <v>12</v>
      </c>
      <c r="J20" t="s">
        <v>42</v>
      </c>
    </row>
    <row r="21" spans="1:10" x14ac:dyDescent="0.3">
      <c r="A21" t="s">
        <v>53</v>
      </c>
      <c r="B21">
        <v>25</v>
      </c>
      <c r="C21" t="s">
        <v>25</v>
      </c>
      <c r="D21" t="s">
        <v>12</v>
      </c>
      <c r="E21" s="1">
        <v>46098</v>
      </c>
      <c r="F21" t="s">
        <v>19</v>
      </c>
      <c r="G21" t="s">
        <v>19</v>
      </c>
      <c r="H21" t="s">
        <v>20</v>
      </c>
      <c r="J21" t="s">
        <v>21</v>
      </c>
    </row>
    <row r="22" spans="1:10" x14ac:dyDescent="0.3">
      <c r="A22" t="s">
        <v>54</v>
      </c>
      <c r="B22">
        <v>44</v>
      </c>
      <c r="C22" t="s">
        <v>25</v>
      </c>
      <c r="D22" t="s">
        <v>35</v>
      </c>
      <c r="E22" s="1">
        <v>46202</v>
      </c>
      <c r="F22" t="s">
        <v>19</v>
      </c>
      <c r="G22" t="s">
        <v>19</v>
      </c>
      <c r="H22" t="s">
        <v>20</v>
      </c>
      <c r="J22" t="s">
        <v>21</v>
      </c>
    </row>
    <row r="23" spans="1:10" x14ac:dyDescent="0.3">
      <c r="A23" t="s">
        <v>55</v>
      </c>
      <c r="B23">
        <v>26</v>
      </c>
      <c r="C23" t="s">
        <v>11</v>
      </c>
      <c r="D23" t="s">
        <v>27</v>
      </c>
      <c r="E23" s="1">
        <v>46119</v>
      </c>
      <c r="F23" t="s">
        <v>56</v>
      </c>
      <c r="G23" t="s">
        <v>37</v>
      </c>
      <c r="H23" t="s">
        <v>15</v>
      </c>
      <c r="I23">
        <v>8</v>
      </c>
      <c r="J23" t="s">
        <v>42</v>
      </c>
    </row>
    <row r="24" spans="1:10" x14ac:dyDescent="0.3">
      <c r="A24" t="s">
        <v>57</v>
      </c>
      <c r="B24">
        <v>57</v>
      </c>
      <c r="C24" t="s">
        <v>25</v>
      </c>
      <c r="D24" t="s">
        <v>29</v>
      </c>
      <c r="E24" s="1">
        <v>46056</v>
      </c>
      <c r="F24" t="s">
        <v>19</v>
      </c>
      <c r="G24" t="s">
        <v>19</v>
      </c>
      <c r="H24" t="s">
        <v>20</v>
      </c>
      <c r="J24" t="s">
        <v>21</v>
      </c>
    </row>
    <row r="25" spans="1:10" x14ac:dyDescent="0.3">
      <c r="A25" t="s">
        <v>58</v>
      </c>
      <c r="B25">
        <v>24</v>
      </c>
      <c r="C25" t="s">
        <v>11</v>
      </c>
      <c r="D25" t="s">
        <v>29</v>
      </c>
      <c r="E25" s="1">
        <v>46041</v>
      </c>
      <c r="F25" t="s">
        <v>19</v>
      </c>
      <c r="G25" t="s">
        <v>19</v>
      </c>
      <c r="H25" t="s">
        <v>20</v>
      </c>
      <c r="J25" t="s">
        <v>21</v>
      </c>
    </row>
    <row r="26" spans="1:10" x14ac:dyDescent="0.3">
      <c r="A26" t="s">
        <v>59</v>
      </c>
      <c r="B26">
        <v>32</v>
      </c>
      <c r="C26" t="s">
        <v>11</v>
      </c>
      <c r="D26" t="s">
        <v>39</v>
      </c>
      <c r="E26" s="1">
        <v>46066</v>
      </c>
      <c r="F26" t="s">
        <v>19</v>
      </c>
      <c r="G26" t="s">
        <v>19</v>
      </c>
      <c r="H26" t="s">
        <v>20</v>
      </c>
      <c r="J26" t="s">
        <v>21</v>
      </c>
    </row>
    <row r="27" spans="1:10" x14ac:dyDescent="0.3">
      <c r="A27" t="s">
        <v>60</v>
      </c>
      <c r="B27">
        <v>57</v>
      </c>
      <c r="C27" t="s">
        <v>11</v>
      </c>
      <c r="D27" t="s">
        <v>27</v>
      </c>
      <c r="E27" s="1">
        <v>46148</v>
      </c>
      <c r="F27" t="s">
        <v>52</v>
      </c>
      <c r="G27" t="s">
        <v>37</v>
      </c>
      <c r="H27" t="s">
        <v>15</v>
      </c>
      <c r="I27">
        <v>13</v>
      </c>
      <c r="J27" t="s">
        <v>42</v>
      </c>
    </row>
    <row r="28" spans="1:10" x14ac:dyDescent="0.3">
      <c r="A28" t="s">
        <v>61</v>
      </c>
      <c r="B28">
        <v>74</v>
      </c>
      <c r="C28" t="s">
        <v>11</v>
      </c>
      <c r="D28" t="s">
        <v>35</v>
      </c>
      <c r="E28" s="1">
        <v>46097</v>
      </c>
      <c r="F28" t="s">
        <v>56</v>
      </c>
      <c r="G28" t="s">
        <v>37</v>
      </c>
      <c r="H28" t="s">
        <v>15</v>
      </c>
      <c r="I28">
        <v>4</v>
      </c>
      <c r="J28" t="s">
        <v>42</v>
      </c>
    </row>
    <row r="29" spans="1:10" x14ac:dyDescent="0.3">
      <c r="A29" t="s">
        <v>62</v>
      </c>
      <c r="B29">
        <v>80</v>
      </c>
      <c r="C29" t="s">
        <v>11</v>
      </c>
      <c r="D29" t="s">
        <v>33</v>
      </c>
      <c r="E29" s="1">
        <v>46097</v>
      </c>
      <c r="F29" t="s">
        <v>19</v>
      </c>
      <c r="G29" t="s">
        <v>19</v>
      </c>
      <c r="H29" t="s">
        <v>20</v>
      </c>
      <c r="J29" t="s">
        <v>21</v>
      </c>
    </row>
    <row r="30" spans="1:10" x14ac:dyDescent="0.3">
      <c r="A30" t="s">
        <v>63</v>
      </c>
      <c r="B30">
        <v>78</v>
      </c>
      <c r="C30" t="s">
        <v>25</v>
      </c>
      <c r="D30" t="s">
        <v>35</v>
      </c>
      <c r="E30" s="1">
        <v>46067</v>
      </c>
      <c r="F30" t="s">
        <v>45</v>
      </c>
      <c r="G30" t="s">
        <v>37</v>
      </c>
      <c r="H30" t="s">
        <v>15</v>
      </c>
      <c r="I30">
        <v>12</v>
      </c>
      <c r="J30" t="s">
        <v>42</v>
      </c>
    </row>
    <row r="31" spans="1:10" x14ac:dyDescent="0.3">
      <c r="A31" t="s">
        <v>64</v>
      </c>
      <c r="B31">
        <v>70</v>
      </c>
      <c r="C31" t="s">
        <v>25</v>
      </c>
      <c r="D31" t="s">
        <v>35</v>
      </c>
      <c r="E31" s="1">
        <v>46190</v>
      </c>
      <c r="F31" t="s">
        <v>65</v>
      </c>
      <c r="G31" t="s">
        <v>14</v>
      </c>
      <c r="H31" t="s">
        <v>15</v>
      </c>
      <c r="I31">
        <v>12</v>
      </c>
      <c r="J31" t="s">
        <v>48</v>
      </c>
    </row>
    <row r="32" spans="1:10" x14ac:dyDescent="0.3">
      <c r="A32" t="s">
        <v>66</v>
      </c>
      <c r="B32">
        <v>31</v>
      </c>
      <c r="C32" t="s">
        <v>25</v>
      </c>
      <c r="D32" t="s">
        <v>23</v>
      </c>
      <c r="E32" s="1">
        <v>46037</v>
      </c>
      <c r="F32" t="s">
        <v>36</v>
      </c>
      <c r="G32" t="s">
        <v>37</v>
      </c>
      <c r="H32" t="s">
        <v>15</v>
      </c>
      <c r="I32">
        <v>2</v>
      </c>
      <c r="J32" t="s">
        <v>16</v>
      </c>
    </row>
    <row r="33" spans="1:10" x14ac:dyDescent="0.3">
      <c r="A33" t="s">
        <v>67</v>
      </c>
      <c r="B33">
        <v>28</v>
      </c>
      <c r="C33" t="s">
        <v>11</v>
      </c>
      <c r="D33" t="s">
        <v>23</v>
      </c>
      <c r="E33" s="1">
        <v>46175</v>
      </c>
      <c r="F33" t="s">
        <v>19</v>
      </c>
      <c r="G33" t="s">
        <v>19</v>
      </c>
      <c r="H33" t="s">
        <v>20</v>
      </c>
      <c r="J33" t="s">
        <v>21</v>
      </c>
    </row>
    <row r="34" spans="1:10" x14ac:dyDescent="0.3">
      <c r="A34" t="s">
        <v>68</v>
      </c>
      <c r="B34">
        <v>29</v>
      </c>
      <c r="C34" t="s">
        <v>25</v>
      </c>
      <c r="D34" t="s">
        <v>27</v>
      </c>
      <c r="E34" s="1">
        <v>46059</v>
      </c>
      <c r="F34" t="s">
        <v>41</v>
      </c>
      <c r="G34" t="s">
        <v>37</v>
      </c>
      <c r="H34" t="s">
        <v>15</v>
      </c>
      <c r="I34">
        <v>3</v>
      </c>
      <c r="J34" t="s">
        <v>48</v>
      </c>
    </row>
    <row r="35" spans="1:10" x14ac:dyDescent="0.3">
      <c r="A35" t="s">
        <v>69</v>
      </c>
      <c r="B35">
        <v>49</v>
      </c>
      <c r="C35" t="s">
        <v>11</v>
      </c>
      <c r="D35" t="s">
        <v>29</v>
      </c>
      <c r="E35" s="1">
        <v>46047</v>
      </c>
      <c r="F35" t="s">
        <v>65</v>
      </c>
      <c r="G35" t="s">
        <v>70</v>
      </c>
      <c r="H35" t="s">
        <v>15</v>
      </c>
      <c r="I35">
        <v>6</v>
      </c>
      <c r="J35" t="s">
        <v>42</v>
      </c>
    </row>
    <row r="36" spans="1:10" x14ac:dyDescent="0.3">
      <c r="A36" t="s">
        <v>71</v>
      </c>
      <c r="B36">
        <v>21</v>
      </c>
      <c r="C36" t="s">
        <v>25</v>
      </c>
      <c r="D36" t="s">
        <v>29</v>
      </c>
      <c r="E36" s="1">
        <v>46053</v>
      </c>
      <c r="F36" t="s">
        <v>19</v>
      </c>
      <c r="G36" t="s">
        <v>19</v>
      </c>
      <c r="H36" t="s">
        <v>20</v>
      </c>
      <c r="J36" t="s">
        <v>21</v>
      </c>
    </row>
    <row r="37" spans="1:10" x14ac:dyDescent="0.3">
      <c r="A37" t="s">
        <v>72</v>
      </c>
      <c r="B37">
        <v>20</v>
      </c>
      <c r="C37" t="s">
        <v>11</v>
      </c>
      <c r="D37" t="s">
        <v>18</v>
      </c>
      <c r="E37" s="1">
        <v>46182</v>
      </c>
      <c r="F37" t="s">
        <v>52</v>
      </c>
      <c r="G37" t="s">
        <v>14</v>
      </c>
      <c r="H37" t="s">
        <v>15</v>
      </c>
      <c r="I37">
        <v>2</v>
      </c>
      <c r="J37" t="s">
        <v>48</v>
      </c>
    </row>
    <row r="38" spans="1:10" x14ac:dyDescent="0.3">
      <c r="A38" t="s">
        <v>73</v>
      </c>
      <c r="B38">
        <v>80</v>
      </c>
      <c r="C38" t="s">
        <v>11</v>
      </c>
      <c r="D38" t="s">
        <v>23</v>
      </c>
      <c r="E38" s="1">
        <v>46042</v>
      </c>
      <c r="F38" t="s">
        <v>19</v>
      </c>
      <c r="G38" t="s">
        <v>19</v>
      </c>
      <c r="H38" t="s">
        <v>20</v>
      </c>
      <c r="J38" t="s">
        <v>21</v>
      </c>
    </row>
    <row r="39" spans="1:10" x14ac:dyDescent="0.3">
      <c r="A39" t="s">
        <v>74</v>
      </c>
      <c r="B39">
        <v>34</v>
      </c>
      <c r="C39" t="s">
        <v>11</v>
      </c>
      <c r="D39" t="s">
        <v>27</v>
      </c>
      <c r="E39" s="1">
        <v>46082</v>
      </c>
      <c r="F39" t="s">
        <v>52</v>
      </c>
      <c r="G39" t="s">
        <v>37</v>
      </c>
      <c r="H39" t="s">
        <v>15</v>
      </c>
      <c r="I39">
        <v>8</v>
      </c>
      <c r="J39" t="s">
        <v>48</v>
      </c>
    </row>
    <row r="40" spans="1:10" x14ac:dyDescent="0.3">
      <c r="A40" t="s">
        <v>75</v>
      </c>
      <c r="B40">
        <v>49</v>
      </c>
      <c r="C40" t="s">
        <v>11</v>
      </c>
      <c r="D40" t="s">
        <v>29</v>
      </c>
      <c r="E40" s="1">
        <v>46139</v>
      </c>
      <c r="F40" t="s">
        <v>19</v>
      </c>
      <c r="G40" t="s">
        <v>19</v>
      </c>
      <c r="H40" t="s">
        <v>20</v>
      </c>
      <c r="J40" t="s">
        <v>21</v>
      </c>
    </row>
    <row r="41" spans="1:10" x14ac:dyDescent="0.3">
      <c r="A41" t="s">
        <v>76</v>
      </c>
      <c r="B41">
        <v>38</v>
      </c>
      <c r="C41" t="s">
        <v>25</v>
      </c>
      <c r="D41" t="s">
        <v>12</v>
      </c>
      <c r="E41" s="1">
        <v>46047</v>
      </c>
      <c r="F41" t="s">
        <v>65</v>
      </c>
      <c r="G41" t="s">
        <v>37</v>
      </c>
      <c r="H41" t="s">
        <v>15</v>
      </c>
      <c r="I41">
        <v>11</v>
      </c>
      <c r="J41" t="s">
        <v>48</v>
      </c>
    </row>
    <row r="42" spans="1:10" x14ac:dyDescent="0.3">
      <c r="A42" t="s">
        <v>77</v>
      </c>
      <c r="B42">
        <v>70</v>
      </c>
      <c r="C42" t="s">
        <v>25</v>
      </c>
      <c r="D42" t="s">
        <v>33</v>
      </c>
      <c r="E42" s="1">
        <v>46071</v>
      </c>
      <c r="F42" t="s">
        <v>41</v>
      </c>
      <c r="G42" t="s">
        <v>37</v>
      </c>
      <c r="H42" t="s">
        <v>15</v>
      </c>
      <c r="I42">
        <v>4</v>
      </c>
      <c r="J42" t="s">
        <v>48</v>
      </c>
    </row>
    <row r="43" spans="1:10" x14ac:dyDescent="0.3">
      <c r="A43" t="s">
        <v>78</v>
      </c>
      <c r="B43">
        <v>38</v>
      </c>
      <c r="C43" t="s">
        <v>25</v>
      </c>
      <c r="D43" t="s">
        <v>23</v>
      </c>
      <c r="E43" s="1">
        <v>46026</v>
      </c>
      <c r="F43" t="s">
        <v>19</v>
      </c>
      <c r="G43" t="s">
        <v>19</v>
      </c>
      <c r="H43" t="s">
        <v>20</v>
      </c>
      <c r="J43" t="s">
        <v>21</v>
      </c>
    </row>
    <row r="44" spans="1:10" x14ac:dyDescent="0.3">
      <c r="A44" t="s">
        <v>79</v>
      </c>
      <c r="B44">
        <v>47</v>
      </c>
      <c r="C44" t="s">
        <v>11</v>
      </c>
      <c r="D44" t="s">
        <v>23</v>
      </c>
      <c r="E44" s="1">
        <v>46075</v>
      </c>
      <c r="F44" t="s">
        <v>45</v>
      </c>
      <c r="G44" t="s">
        <v>14</v>
      </c>
      <c r="H44" t="s">
        <v>15</v>
      </c>
      <c r="I44">
        <v>11</v>
      </c>
      <c r="J44" t="s">
        <v>16</v>
      </c>
    </row>
    <row r="45" spans="1:10" x14ac:dyDescent="0.3">
      <c r="A45" t="s">
        <v>80</v>
      </c>
      <c r="B45">
        <v>44</v>
      </c>
      <c r="C45" t="s">
        <v>11</v>
      </c>
      <c r="D45" t="s">
        <v>35</v>
      </c>
      <c r="E45" s="1">
        <v>46046</v>
      </c>
      <c r="F45" t="s">
        <v>19</v>
      </c>
      <c r="G45" t="s">
        <v>19</v>
      </c>
      <c r="H45" t="s">
        <v>20</v>
      </c>
      <c r="J45" t="s">
        <v>21</v>
      </c>
    </row>
    <row r="46" spans="1:10" x14ac:dyDescent="0.3">
      <c r="A46" t="s">
        <v>81</v>
      </c>
      <c r="B46">
        <v>72</v>
      </c>
      <c r="C46" t="s">
        <v>11</v>
      </c>
      <c r="D46" t="s">
        <v>18</v>
      </c>
      <c r="E46" s="1">
        <v>46080</v>
      </c>
      <c r="F46" t="s">
        <v>19</v>
      </c>
      <c r="G46" t="s">
        <v>19</v>
      </c>
      <c r="H46" t="s">
        <v>20</v>
      </c>
      <c r="J46" t="s">
        <v>21</v>
      </c>
    </row>
    <row r="47" spans="1:10" x14ac:dyDescent="0.3">
      <c r="A47" t="s">
        <v>82</v>
      </c>
      <c r="B47">
        <v>48</v>
      </c>
      <c r="C47" t="s">
        <v>25</v>
      </c>
      <c r="D47" t="s">
        <v>23</v>
      </c>
      <c r="E47" s="1">
        <v>46127</v>
      </c>
      <c r="F47" t="s">
        <v>19</v>
      </c>
      <c r="G47" t="s">
        <v>19</v>
      </c>
      <c r="H47" t="s">
        <v>20</v>
      </c>
      <c r="J47" t="s">
        <v>21</v>
      </c>
    </row>
    <row r="48" spans="1:10" x14ac:dyDescent="0.3">
      <c r="A48" t="s">
        <v>83</v>
      </c>
      <c r="B48">
        <v>68</v>
      </c>
      <c r="C48" t="s">
        <v>11</v>
      </c>
      <c r="D48" t="s">
        <v>33</v>
      </c>
      <c r="E48" s="1">
        <v>46193</v>
      </c>
      <c r="F48" t="s">
        <v>19</v>
      </c>
      <c r="G48" t="s">
        <v>19</v>
      </c>
      <c r="H48" t="s">
        <v>20</v>
      </c>
      <c r="J48" t="s">
        <v>21</v>
      </c>
    </row>
    <row r="49" spans="1:10" x14ac:dyDescent="0.3">
      <c r="A49" t="s">
        <v>84</v>
      </c>
      <c r="B49">
        <v>44</v>
      </c>
      <c r="C49" t="s">
        <v>25</v>
      </c>
      <c r="D49" t="s">
        <v>35</v>
      </c>
      <c r="E49" s="1">
        <v>46100</v>
      </c>
      <c r="F49" t="s">
        <v>19</v>
      </c>
      <c r="G49" t="s">
        <v>19</v>
      </c>
      <c r="H49" t="s">
        <v>20</v>
      </c>
      <c r="J49" t="s">
        <v>21</v>
      </c>
    </row>
    <row r="50" spans="1:10" x14ac:dyDescent="0.3">
      <c r="A50" t="s">
        <v>85</v>
      </c>
      <c r="B50">
        <v>40</v>
      </c>
      <c r="C50" t="s">
        <v>11</v>
      </c>
      <c r="D50" t="s">
        <v>29</v>
      </c>
      <c r="E50" s="1">
        <v>46201</v>
      </c>
      <c r="F50" t="s">
        <v>65</v>
      </c>
      <c r="G50" t="s">
        <v>37</v>
      </c>
      <c r="H50" t="s">
        <v>15</v>
      </c>
      <c r="I50">
        <v>1</v>
      </c>
      <c r="J50" t="s">
        <v>48</v>
      </c>
    </row>
    <row r="51" spans="1:10" x14ac:dyDescent="0.3">
      <c r="A51" t="s">
        <v>86</v>
      </c>
      <c r="B51">
        <v>48</v>
      </c>
      <c r="C51" t="s">
        <v>11</v>
      </c>
      <c r="D51" t="s">
        <v>23</v>
      </c>
      <c r="E51" s="1">
        <v>46130</v>
      </c>
      <c r="F51" t="s">
        <v>87</v>
      </c>
      <c r="G51" t="s">
        <v>37</v>
      </c>
      <c r="H51" t="s">
        <v>15</v>
      </c>
      <c r="I51">
        <v>13</v>
      </c>
      <c r="J51" t="s">
        <v>48</v>
      </c>
    </row>
    <row r="52" spans="1:10" x14ac:dyDescent="0.3">
      <c r="A52" t="s">
        <v>88</v>
      </c>
      <c r="B52">
        <v>43</v>
      </c>
      <c r="C52" t="s">
        <v>25</v>
      </c>
      <c r="D52" t="s">
        <v>23</v>
      </c>
      <c r="E52" s="1">
        <v>46106</v>
      </c>
      <c r="F52" t="s">
        <v>41</v>
      </c>
      <c r="G52" t="s">
        <v>14</v>
      </c>
      <c r="H52" t="s">
        <v>15</v>
      </c>
      <c r="I52">
        <v>7</v>
      </c>
      <c r="J52" t="s">
        <v>16</v>
      </c>
    </row>
    <row r="53" spans="1:10" x14ac:dyDescent="0.3">
      <c r="A53" t="s">
        <v>89</v>
      </c>
      <c r="B53">
        <v>55</v>
      </c>
      <c r="C53" t="s">
        <v>25</v>
      </c>
      <c r="D53" t="s">
        <v>29</v>
      </c>
      <c r="E53" s="1">
        <v>46106</v>
      </c>
      <c r="F53" t="s">
        <v>19</v>
      </c>
      <c r="G53" t="s">
        <v>19</v>
      </c>
      <c r="H53" t="s">
        <v>20</v>
      </c>
      <c r="J53" t="s">
        <v>21</v>
      </c>
    </row>
    <row r="54" spans="1:10" x14ac:dyDescent="0.3">
      <c r="A54" t="s">
        <v>90</v>
      </c>
      <c r="B54">
        <v>19</v>
      </c>
      <c r="C54" t="s">
        <v>25</v>
      </c>
      <c r="D54" t="s">
        <v>27</v>
      </c>
      <c r="E54" s="1">
        <v>46132</v>
      </c>
      <c r="F54" t="s">
        <v>19</v>
      </c>
      <c r="G54" t="s">
        <v>19</v>
      </c>
      <c r="H54" t="s">
        <v>20</v>
      </c>
      <c r="J54" t="s">
        <v>21</v>
      </c>
    </row>
    <row r="55" spans="1:10" x14ac:dyDescent="0.3">
      <c r="A55" t="s">
        <v>91</v>
      </c>
      <c r="B55">
        <v>41</v>
      </c>
      <c r="C55" t="s">
        <v>25</v>
      </c>
      <c r="D55" t="s">
        <v>33</v>
      </c>
      <c r="E55" s="1">
        <v>46123</v>
      </c>
      <c r="F55" t="s">
        <v>19</v>
      </c>
      <c r="G55" t="s">
        <v>19</v>
      </c>
      <c r="H55" t="s">
        <v>20</v>
      </c>
      <c r="J55" t="s">
        <v>21</v>
      </c>
    </row>
    <row r="56" spans="1:10" x14ac:dyDescent="0.3">
      <c r="A56" t="s">
        <v>92</v>
      </c>
      <c r="B56">
        <v>33</v>
      </c>
      <c r="C56" t="s">
        <v>11</v>
      </c>
      <c r="D56" t="s">
        <v>33</v>
      </c>
      <c r="E56" s="1">
        <v>46053</v>
      </c>
      <c r="F56" t="s">
        <v>19</v>
      </c>
      <c r="G56" t="s">
        <v>19</v>
      </c>
      <c r="H56" t="s">
        <v>20</v>
      </c>
      <c r="J56" t="s">
        <v>21</v>
      </c>
    </row>
    <row r="57" spans="1:10" x14ac:dyDescent="0.3">
      <c r="A57" t="s">
        <v>93</v>
      </c>
      <c r="B57">
        <v>18</v>
      </c>
      <c r="C57" t="s">
        <v>25</v>
      </c>
      <c r="D57" t="s">
        <v>18</v>
      </c>
      <c r="E57" s="1">
        <v>46082</v>
      </c>
      <c r="F57" t="s">
        <v>19</v>
      </c>
      <c r="G57" t="s">
        <v>19</v>
      </c>
      <c r="H57" t="s">
        <v>20</v>
      </c>
      <c r="J57" t="s">
        <v>21</v>
      </c>
    </row>
    <row r="58" spans="1:10" x14ac:dyDescent="0.3">
      <c r="A58" t="s">
        <v>94</v>
      </c>
      <c r="B58">
        <v>72</v>
      </c>
      <c r="C58" t="s">
        <v>11</v>
      </c>
      <c r="D58" t="s">
        <v>39</v>
      </c>
      <c r="E58" s="1">
        <v>46046</v>
      </c>
      <c r="F58" t="s">
        <v>19</v>
      </c>
      <c r="G58" t="s">
        <v>19</v>
      </c>
      <c r="H58" t="s">
        <v>20</v>
      </c>
      <c r="J58" t="s">
        <v>21</v>
      </c>
    </row>
    <row r="59" spans="1:10" x14ac:dyDescent="0.3">
      <c r="A59" t="s">
        <v>95</v>
      </c>
      <c r="B59">
        <v>73</v>
      </c>
      <c r="C59" t="s">
        <v>11</v>
      </c>
      <c r="D59" t="s">
        <v>23</v>
      </c>
      <c r="E59" s="1">
        <v>46039</v>
      </c>
      <c r="F59" t="s">
        <v>13</v>
      </c>
      <c r="G59" t="s">
        <v>37</v>
      </c>
      <c r="H59" t="s">
        <v>15</v>
      </c>
      <c r="I59">
        <v>8</v>
      </c>
      <c r="J59" t="s">
        <v>16</v>
      </c>
    </row>
    <row r="60" spans="1:10" x14ac:dyDescent="0.3">
      <c r="A60" t="s">
        <v>96</v>
      </c>
      <c r="B60">
        <v>30</v>
      </c>
      <c r="C60" t="s">
        <v>11</v>
      </c>
      <c r="D60" t="s">
        <v>35</v>
      </c>
      <c r="E60" s="1">
        <v>46111</v>
      </c>
      <c r="F60" t="s">
        <v>45</v>
      </c>
      <c r="G60" t="s">
        <v>37</v>
      </c>
      <c r="H60" t="s">
        <v>15</v>
      </c>
      <c r="I60">
        <v>12</v>
      </c>
      <c r="J60" t="s">
        <v>48</v>
      </c>
    </row>
    <row r="61" spans="1:10" x14ac:dyDescent="0.3">
      <c r="A61" t="s">
        <v>97</v>
      </c>
      <c r="B61">
        <v>57</v>
      </c>
      <c r="C61" t="s">
        <v>11</v>
      </c>
      <c r="D61" t="s">
        <v>27</v>
      </c>
      <c r="E61" s="1">
        <v>46135</v>
      </c>
      <c r="F61" t="s">
        <v>19</v>
      </c>
      <c r="G61" t="s">
        <v>19</v>
      </c>
      <c r="H61" t="s">
        <v>20</v>
      </c>
      <c r="J61" t="s">
        <v>21</v>
      </c>
    </row>
    <row r="62" spans="1:10" x14ac:dyDescent="0.3">
      <c r="A62" t="s">
        <v>98</v>
      </c>
      <c r="B62">
        <v>41</v>
      </c>
      <c r="C62" t="s">
        <v>11</v>
      </c>
      <c r="D62" t="s">
        <v>23</v>
      </c>
      <c r="E62" s="1">
        <v>46154</v>
      </c>
      <c r="F62" t="s">
        <v>52</v>
      </c>
      <c r="G62" t="s">
        <v>37</v>
      </c>
      <c r="H62" t="s">
        <v>15</v>
      </c>
      <c r="I62">
        <v>3</v>
      </c>
      <c r="J62" t="s">
        <v>48</v>
      </c>
    </row>
    <row r="63" spans="1:10" x14ac:dyDescent="0.3">
      <c r="A63" t="s">
        <v>99</v>
      </c>
      <c r="B63">
        <v>45</v>
      </c>
      <c r="C63" t="s">
        <v>11</v>
      </c>
      <c r="D63" t="s">
        <v>23</v>
      </c>
      <c r="E63" s="1">
        <v>46177</v>
      </c>
      <c r="F63" t="s">
        <v>19</v>
      </c>
      <c r="G63" t="s">
        <v>19</v>
      </c>
      <c r="H63" t="s">
        <v>20</v>
      </c>
      <c r="J63" t="s">
        <v>21</v>
      </c>
    </row>
    <row r="64" spans="1:10" x14ac:dyDescent="0.3">
      <c r="A64" t="s">
        <v>100</v>
      </c>
      <c r="B64">
        <v>76</v>
      </c>
      <c r="C64" t="s">
        <v>25</v>
      </c>
      <c r="D64" t="s">
        <v>39</v>
      </c>
      <c r="E64" s="1">
        <v>46108</v>
      </c>
      <c r="F64" t="s">
        <v>13</v>
      </c>
      <c r="G64" t="s">
        <v>37</v>
      </c>
      <c r="H64" t="s">
        <v>15</v>
      </c>
      <c r="I64">
        <v>8</v>
      </c>
      <c r="J64" t="s">
        <v>42</v>
      </c>
    </row>
    <row r="65" spans="1:10" x14ac:dyDescent="0.3">
      <c r="A65" t="s">
        <v>101</v>
      </c>
      <c r="B65">
        <v>48</v>
      </c>
      <c r="C65" t="s">
        <v>11</v>
      </c>
      <c r="D65" t="s">
        <v>18</v>
      </c>
      <c r="E65" s="1">
        <v>46052</v>
      </c>
      <c r="F65" t="s">
        <v>19</v>
      </c>
      <c r="G65" t="s">
        <v>19</v>
      </c>
      <c r="H65" t="s">
        <v>20</v>
      </c>
      <c r="J65" t="s">
        <v>21</v>
      </c>
    </row>
    <row r="66" spans="1:10" x14ac:dyDescent="0.3">
      <c r="A66" t="s">
        <v>102</v>
      </c>
      <c r="B66">
        <v>24</v>
      </c>
      <c r="C66" t="s">
        <v>11</v>
      </c>
      <c r="D66" t="s">
        <v>39</v>
      </c>
      <c r="E66" s="1">
        <v>46151</v>
      </c>
      <c r="F66" t="s">
        <v>52</v>
      </c>
      <c r="G66" t="s">
        <v>14</v>
      </c>
      <c r="H66" t="s">
        <v>15</v>
      </c>
      <c r="I66">
        <v>2</v>
      </c>
      <c r="J66" t="s">
        <v>16</v>
      </c>
    </row>
    <row r="67" spans="1:10" x14ac:dyDescent="0.3">
      <c r="A67" t="s">
        <v>103</v>
      </c>
      <c r="B67">
        <v>65</v>
      </c>
      <c r="C67" t="s">
        <v>11</v>
      </c>
      <c r="D67" t="s">
        <v>27</v>
      </c>
      <c r="E67" s="1">
        <v>46092</v>
      </c>
      <c r="F67" t="s">
        <v>87</v>
      </c>
      <c r="G67" t="s">
        <v>37</v>
      </c>
      <c r="H67" t="s">
        <v>15</v>
      </c>
      <c r="I67">
        <v>4</v>
      </c>
      <c r="J67" t="s">
        <v>42</v>
      </c>
    </row>
    <row r="68" spans="1:10" x14ac:dyDescent="0.3">
      <c r="A68" t="s">
        <v>104</v>
      </c>
      <c r="B68">
        <v>43</v>
      </c>
      <c r="C68" t="s">
        <v>25</v>
      </c>
      <c r="D68" t="s">
        <v>39</v>
      </c>
      <c r="E68" s="1">
        <v>46125</v>
      </c>
      <c r="F68" t="s">
        <v>19</v>
      </c>
      <c r="G68" t="s">
        <v>19</v>
      </c>
      <c r="H68" t="s">
        <v>20</v>
      </c>
      <c r="J68" t="s">
        <v>21</v>
      </c>
    </row>
    <row r="69" spans="1:10" x14ac:dyDescent="0.3">
      <c r="A69" t="s">
        <v>105</v>
      </c>
      <c r="B69">
        <v>73</v>
      </c>
      <c r="C69" t="s">
        <v>11</v>
      </c>
      <c r="D69" t="s">
        <v>29</v>
      </c>
      <c r="E69" s="1">
        <v>46036</v>
      </c>
      <c r="F69" t="s">
        <v>87</v>
      </c>
      <c r="G69" t="s">
        <v>37</v>
      </c>
      <c r="H69" t="s">
        <v>15</v>
      </c>
      <c r="I69">
        <v>1</v>
      </c>
      <c r="J69" t="s">
        <v>42</v>
      </c>
    </row>
    <row r="70" spans="1:10" x14ac:dyDescent="0.3">
      <c r="A70" t="s">
        <v>106</v>
      </c>
      <c r="B70">
        <v>49</v>
      </c>
      <c r="C70" t="s">
        <v>11</v>
      </c>
      <c r="D70" t="s">
        <v>18</v>
      </c>
      <c r="E70" s="1">
        <v>46084</v>
      </c>
      <c r="F70" t="s">
        <v>19</v>
      </c>
      <c r="G70" t="s">
        <v>19</v>
      </c>
      <c r="H70" t="s">
        <v>20</v>
      </c>
      <c r="J70" t="s">
        <v>21</v>
      </c>
    </row>
    <row r="71" spans="1:10" x14ac:dyDescent="0.3">
      <c r="A71" t="s">
        <v>107</v>
      </c>
      <c r="B71">
        <v>58</v>
      </c>
      <c r="C71" t="s">
        <v>11</v>
      </c>
      <c r="D71" t="s">
        <v>35</v>
      </c>
      <c r="E71" s="1">
        <v>46154</v>
      </c>
      <c r="F71" t="s">
        <v>52</v>
      </c>
      <c r="G71" t="s">
        <v>37</v>
      </c>
      <c r="H71" t="s">
        <v>15</v>
      </c>
      <c r="I71">
        <v>4</v>
      </c>
      <c r="J71" t="s">
        <v>42</v>
      </c>
    </row>
    <row r="72" spans="1:10" x14ac:dyDescent="0.3">
      <c r="A72" t="s">
        <v>108</v>
      </c>
      <c r="B72">
        <v>58</v>
      </c>
      <c r="C72" t="s">
        <v>11</v>
      </c>
      <c r="D72" t="s">
        <v>35</v>
      </c>
      <c r="E72" s="1">
        <v>46034</v>
      </c>
      <c r="F72" t="s">
        <v>87</v>
      </c>
      <c r="G72" t="s">
        <v>37</v>
      </c>
      <c r="H72" t="s">
        <v>15</v>
      </c>
      <c r="I72">
        <v>7</v>
      </c>
      <c r="J72" t="s">
        <v>16</v>
      </c>
    </row>
    <row r="73" spans="1:10" x14ac:dyDescent="0.3">
      <c r="A73" t="s">
        <v>109</v>
      </c>
      <c r="B73">
        <v>67</v>
      </c>
      <c r="C73" t="s">
        <v>25</v>
      </c>
      <c r="D73" t="s">
        <v>35</v>
      </c>
      <c r="E73" s="1">
        <v>46191</v>
      </c>
      <c r="F73" t="s">
        <v>19</v>
      </c>
      <c r="G73" t="s">
        <v>19</v>
      </c>
      <c r="H73" t="s">
        <v>20</v>
      </c>
      <c r="J73" t="s">
        <v>21</v>
      </c>
    </row>
    <row r="74" spans="1:10" x14ac:dyDescent="0.3">
      <c r="A74" t="s">
        <v>110</v>
      </c>
      <c r="B74">
        <v>28</v>
      </c>
      <c r="C74" t="s">
        <v>25</v>
      </c>
      <c r="D74" t="s">
        <v>35</v>
      </c>
      <c r="E74" s="1">
        <v>46081</v>
      </c>
      <c r="F74" t="s">
        <v>19</v>
      </c>
      <c r="G74" t="s">
        <v>19</v>
      </c>
      <c r="H74" t="s">
        <v>20</v>
      </c>
      <c r="J74" t="s">
        <v>21</v>
      </c>
    </row>
    <row r="75" spans="1:10" x14ac:dyDescent="0.3">
      <c r="A75" t="s">
        <v>111</v>
      </c>
      <c r="B75">
        <v>52</v>
      </c>
      <c r="C75" t="s">
        <v>25</v>
      </c>
      <c r="D75" t="s">
        <v>12</v>
      </c>
      <c r="E75" s="1">
        <v>46109</v>
      </c>
      <c r="F75" t="s">
        <v>56</v>
      </c>
      <c r="G75" t="s">
        <v>37</v>
      </c>
      <c r="H75" t="s">
        <v>15</v>
      </c>
      <c r="I75">
        <v>9</v>
      </c>
      <c r="J75" t="s">
        <v>42</v>
      </c>
    </row>
    <row r="76" spans="1:10" x14ac:dyDescent="0.3">
      <c r="A76" t="s">
        <v>112</v>
      </c>
      <c r="B76">
        <v>62</v>
      </c>
      <c r="C76" t="s">
        <v>11</v>
      </c>
      <c r="D76" t="s">
        <v>39</v>
      </c>
      <c r="E76" s="1">
        <v>46129</v>
      </c>
      <c r="F76" t="s">
        <v>52</v>
      </c>
      <c r="G76" t="s">
        <v>37</v>
      </c>
      <c r="H76" t="s">
        <v>15</v>
      </c>
      <c r="I76">
        <v>5</v>
      </c>
      <c r="J76" t="s">
        <v>42</v>
      </c>
    </row>
    <row r="77" spans="1:10" x14ac:dyDescent="0.3">
      <c r="A77" t="s">
        <v>113</v>
      </c>
      <c r="B77">
        <v>24</v>
      </c>
      <c r="C77" t="s">
        <v>25</v>
      </c>
      <c r="D77" t="s">
        <v>29</v>
      </c>
      <c r="E77" s="1">
        <v>46047</v>
      </c>
      <c r="F77" t="s">
        <v>19</v>
      </c>
      <c r="G77" t="s">
        <v>19</v>
      </c>
      <c r="H77" t="s">
        <v>20</v>
      </c>
      <c r="J77" t="s">
        <v>21</v>
      </c>
    </row>
    <row r="78" spans="1:10" x14ac:dyDescent="0.3">
      <c r="A78" t="s">
        <v>114</v>
      </c>
      <c r="B78">
        <v>22</v>
      </c>
      <c r="C78" t="s">
        <v>11</v>
      </c>
      <c r="D78" t="s">
        <v>29</v>
      </c>
      <c r="E78" s="1">
        <v>46180</v>
      </c>
      <c r="F78" t="s">
        <v>19</v>
      </c>
      <c r="G78" t="s">
        <v>19</v>
      </c>
      <c r="H78" t="s">
        <v>20</v>
      </c>
      <c r="J78" t="s">
        <v>21</v>
      </c>
    </row>
    <row r="79" spans="1:10" x14ac:dyDescent="0.3">
      <c r="A79" t="s">
        <v>115</v>
      </c>
      <c r="B79">
        <v>25</v>
      </c>
      <c r="C79" t="s">
        <v>25</v>
      </c>
      <c r="D79" t="s">
        <v>12</v>
      </c>
      <c r="E79" s="1">
        <v>46157</v>
      </c>
      <c r="F79" t="s">
        <v>19</v>
      </c>
      <c r="G79" t="s">
        <v>19</v>
      </c>
      <c r="H79" t="s">
        <v>20</v>
      </c>
      <c r="J79" t="s">
        <v>21</v>
      </c>
    </row>
    <row r="80" spans="1:10" x14ac:dyDescent="0.3">
      <c r="A80" t="s">
        <v>116</v>
      </c>
      <c r="B80">
        <v>46</v>
      </c>
      <c r="C80" t="s">
        <v>11</v>
      </c>
      <c r="D80" t="s">
        <v>35</v>
      </c>
      <c r="E80" s="1">
        <v>46075</v>
      </c>
      <c r="F80" t="s">
        <v>19</v>
      </c>
      <c r="G80" t="s">
        <v>19</v>
      </c>
      <c r="H80" t="s">
        <v>20</v>
      </c>
      <c r="J80" t="s">
        <v>21</v>
      </c>
    </row>
    <row r="81" spans="1:10" x14ac:dyDescent="0.3">
      <c r="A81" t="s">
        <v>117</v>
      </c>
      <c r="B81">
        <v>42</v>
      </c>
      <c r="C81" t="s">
        <v>11</v>
      </c>
      <c r="D81" t="s">
        <v>12</v>
      </c>
      <c r="E81" s="1">
        <v>46043</v>
      </c>
      <c r="F81" t="s">
        <v>36</v>
      </c>
      <c r="G81" t="s">
        <v>14</v>
      </c>
      <c r="H81" t="s">
        <v>15</v>
      </c>
      <c r="I81">
        <v>11</v>
      </c>
      <c r="J81" t="s">
        <v>42</v>
      </c>
    </row>
    <row r="82" spans="1:10" x14ac:dyDescent="0.3">
      <c r="A82" t="s">
        <v>118</v>
      </c>
      <c r="B82">
        <v>41</v>
      </c>
      <c r="C82" t="s">
        <v>25</v>
      </c>
      <c r="D82" t="s">
        <v>33</v>
      </c>
      <c r="E82" s="1">
        <v>46126</v>
      </c>
      <c r="F82" t="s">
        <v>56</v>
      </c>
      <c r="G82" t="s">
        <v>37</v>
      </c>
      <c r="H82" t="s">
        <v>15</v>
      </c>
      <c r="I82">
        <v>2</v>
      </c>
      <c r="J82" t="s">
        <v>42</v>
      </c>
    </row>
    <row r="83" spans="1:10" x14ac:dyDescent="0.3">
      <c r="A83" t="s">
        <v>119</v>
      </c>
      <c r="B83">
        <v>64</v>
      </c>
      <c r="C83" t="s">
        <v>11</v>
      </c>
      <c r="D83" t="s">
        <v>23</v>
      </c>
      <c r="E83" s="1">
        <v>46024</v>
      </c>
      <c r="F83" t="s">
        <v>19</v>
      </c>
      <c r="G83" t="s">
        <v>19</v>
      </c>
      <c r="H83" t="s">
        <v>20</v>
      </c>
      <c r="J83" t="s">
        <v>21</v>
      </c>
    </row>
    <row r="84" spans="1:10" x14ac:dyDescent="0.3">
      <c r="A84" t="s">
        <v>120</v>
      </c>
      <c r="B84">
        <v>29</v>
      </c>
      <c r="C84" t="s">
        <v>25</v>
      </c>
      <c r="D84" t="s">
        <v>39</v>
      </c>
      <c r="E84" s="1">
        <v>46040</v>
      </c>
      <c r="F84" t="s">
        <v>19</v>
      </c>
      <c r="G84" t="s">
        <v>19</v>
      </c>
      <c r="H84" t="s">
        <v>20</v>
      </c>
      <c r="J84" t="s">
        <v>21</v>
      </c>
    </row>
    <row r="85" spans="1:10" x14ac:dyDescent="0.3">
      <c r="A85" t="s">
        <v>121</v>
      </c>
      <c r="B85">
        <v>44</v>
      </c>
      <c r="C85" t="s">
        <v>25</v>
      </c>
      <c r="D85" t="s">
        <v>18</v>
      </c>
      <c r="E85" s="1">
        <v>46135</v>
      </c>
      <c r="F85" t="s">
        <v>52</v>
      </c>
      <c r="G85" t="s">
        <v>14</v>
      </c>
      <c r="H85" t="s">
        <v>15</v>
      </c>
      <c r="I85">
        <v>14</v>
      </c>
      <c r="J85" t="s">
        <v>48</v>
      </c>
    </row>
    <row r="86" spans="1:10" x14ac:dyDescent="0.3">
      <c r="A86" t="s">
        <v>122</v>
      </c>
      <c r="B86">
        <v>46</v>
      </c>
      <c r="C86" t="s">
        <v>25</v>
      </c>
      <c r="D86" t="s">
        <v>12</v>
      </c>
      <c r="E86" s="1">
        <v>46113</v>
      </c>
      <c r="F86" t="s">
        <v>19</v>
      </c>
      <c r="G86" t="s">
        <v>19</v>
      </c>
      <c r="H86" t="s">
        <v>20</v>
      </c>
      <c r="J86" t="s">
        <v>21</v>
      </c>
    </row>
    <row r="87" spans="1:10" x14ac:dyDescent="0.3">
      <c r="A87" t="s">
        <v>123</v>
      </c>
      <c r="B87">
        <v>32</v>
      </c>
      <c r="C87" t="s">
        <v>25</v>
      </c>
      <c r="D87" t="s">
        <v>39</v>
      </c>
      <c r="E87" s="1">
        <v>46133</v>
      </c>
      <c r="F87" t="s">
        <v>56</v>
      </c>
      <c r="G87" t="s">
        <v>37</v>
      </c>
      <c r="H87" t="s">
        <v>15</v>
      </c>
      <c r="I87">
        <v>14</v>
      </c>
      <c r="J87" t="s">
        <v>48</v>
      </c>
    </row>
    <row r="88" spans="1:10" x14ac:dyDescent="0.3">
      <c r="A88" t="s">
        <v>124</v>
      </c>
      <c r="B88">
        <v>73</v>
      </c>
      <c r="C88" t="s">
        <v>25</v>
      </c>
      <c r="D88" t="s">
        <v>18</v>
      </c>
      <c r="E88" s="1">
        <v>46189</v>
      </c>
      <c r="F88" t="s">
        <v>19</v>
      </c>
      <c r="G88" t="s">
        <v>19</v>
      </c>
      <c r="H88" t="s">
        <v>20</v>
      </c>
      <c r="J88" t="s">
        <v>21</v>
      </c>
    </row>
    <row r="89" spans="1:10" x14ac:dyDescent="0.3">
      <c r="A89" t="s">
        <v>125</v>
      </c>
      <c r="B89">
        <v>40</v>
      </c>
      <c r="C89" t="s">
        <v>11</v>
      </c>
      <c r="D89" t="s">
        <v>29</v>
      </c>
      <c r="E89" s="1">
        <v>46176</v>
      </c>
      <c r="F89" t="s">
        <v>19</v>
      </c>
      <c r="G89" t="s">
        <v>19</v>
      </c>
      <c r="H89" t="s">
        <v>20</v>
      </c>
      <c r="J89" t="s">
        <v>21</v>
      </c>
    </row>
    <row r="90" spans="1:10" x14ac:dyDescent="0.3">
      <c r="A90" t="s">
        <v>126</v>
      </c>
      <c r="B90">
        <v>31</v>
      </c>
      <c r="C90" t="s">
        <v>25</v>
      </c>
      <c r="D90" t="s">
        <v>29</v>
      </c>
      <c r="E90" s="1">
        <v>46158</v>
      </c>
      <c r="F90" t="s">
        <v>19</v>
      </c>
      <c r="G90" t="s">
        <v>19</v>
      </c>
      <c r="H90" t="s">
        <v>20</v>
      </c>
      <c r="J90" t="s">
        <v>21</v>
      </c>
    </row>
    <row r="91" spans="1:10" x14ac:dyDescent="0.3">
      <c r="A91" t="s">
        <v>127</v>
      </c>
      <c r="B91">
        <v>78</v>
      </c>
      <c r="C91" t="s">
        <v>25</v>
      </c>
      <c r="D91" t="s">
        <v>35</v>
      </c>
      <c r="E91" s="1">
        <v>46105</v>
      </c>
      <c r="F91" t="s">
        <v>19</v>
      </c>
      <c r="G91" t="s">
        <v>19</v>
      </c>
      <c r="H91" t="s">
        <v>20</v>
      </c>
      <c r="J91" t="s">
        <v>21</v>
      </c>
    </row>
    <row r="92" spans="1:10" x14ac:dyDescent="0.3">
      <c r="A92" t="s">
        <v>128</v>
      </c>
      <c r="B92">
        <v>50</v>
      </c>
      <c r="C92" t="s">
        <v>11</v>
      </c>
      <c r="D92" t="s">
        <v>33</v>
      </c>
      <c r="E92" s="1">
        <v>46039</v>
      </c>
      <c r="F92" t="s">
        <v>19</v>
      </c>
      <c r="G92" t="s">
        <v>19</v>
      </c>
      <c r="H92" t="s">
        <v>20</v>
      </c>
      <c r="J92" t="s">
        <v>21</v>
      </c>
    </row>
    <row r="93" spans="1:10" x14ac:dyDescent="0.3">
      <c r="A93" t="s">
        <v>129</v>
      </c>
      <c r="B93">
        <v>32</v>
      </c>
      <c r="C93" t="s">
        <v>11</v>
      </c>
      <c r="D93" t="s">
        <v>35</v>
      </c>
      <c r="E93" s="1">
        <v>46119</v>
      </c>
      <c r="F93" t="s">
        <v>87</v>
      </c>
      <c r="G93" t="s">
        <v>37</v>
      </c>
      <c r="H93" t="s">
        <v>15</v>
      </c>
      <c r="I93">
        <v>1</v>
      </c>
      <c r="J93" t="s">
        <v>48</v>
      </c>
    </row>
    <row r="94" spans="1:10" x14ac:dyDescent="0.3">
      <c r="A94" t="s">
        <v>130</v>
      </c>
      <c r="B94">
        <v>52</v>
      </c>
      <c r="C94" t="s">
        <v>25</v>
      </c>
      <c r="D94" t="s">
        <v>29</v>
      </c>
      <c r="E94" s="1">
        <v>46140</v>
      </c>
      <c r="F94" t="s">
        <v>52</v>
      </c>
      <c r="G94" t="s">
        <v>37</v>
      </c>
      <c r="H94" t="s">
        <v>15</v>
      </c>
      <c r="I94">
        <v>8</v>
      </c>
      <c r="J94" t="s">
        <v>16</v>
      </c>
    </row>
    <row r="95" spans="1:10" x14ac:dyDescent="0.3">
      <c r="A95" t="s">
        <v>131</v>
      </c>
      <c r="B95">
        <v>35</v>
      </c>
      <c r="C95" t="s">
        <v>25</v>
      </c>
      <c r="D95" t="s">
        <v>33</v>
      </c>
      <c r="E95" s="1">
        <v>46167</v>
      </c>
      <c r="F95" t="s">
        <v>56</v>
      </c>
      <c r="G95" t="s">
        <v>37</v>
      </c>
      <c r="H95" t="s">
        <v>15</v>
      </c>
      <c r="I95">
        <v>13</v>
      </c>
      <c r="J95" t="s">
        <v>16</v>
      </c>
    </row>
    <row r="96" spans="1:10" x14ac:dyDescent="0.3">
      <c r="A96" t="s">
        <v>132</v>
      </c>
      <c r="B96">
        <v>24</v>
      </c>
      <c r="C96" t="s">
        <v>25</v>
      </c>
      <c r="D96" t="s">
        <v>23</v>
      </c>
      <c r="E96" s="1">
        <v>46029</v>
      </c>
      <c r="F96" t="s">
        <v>13</v>
      </c>
      <c r="G96" t="s">
        <v>14</v>
      </c>
      <c r="H96" t="s">
        <v>15</v>
      </c>
      <c r="I96">
        <v>12</v>
      </c>
      <c r="J96" t="s">
        <v>48</v>
      </c>
    </row>
    <row r="97" spans="1:10" x14ac:dyDescent="0.3">
      <c r="A97" t="s">
        <v>133</v>
      </c>
      <c r="B97">
        <v>43</v>
      </c>
      <c r="C97" t="s">
        <v>11</v>
      </c>
      <c r="D97" t="s">
        <v>12</v>
      </c>
      <c r="E97" s="1">
        <v>46130</v>
      </c>
      <c r="F97" t="s">
        <v>52</v>
      </c>
      <c r="G97" t="s">
        <v>37</v>
      </c>
      <c r="H97" t="s">
        <v>15</v>
      </c>
      <c r="I97">
        <v>7</v>
      </c>
      <c r="J97" t="s">
        <v>16</v>
      </c>
    </row>
    <row r="98" spans="1:10" x14ac:dyDescent="0.3">
      <c r="A98" t="s">
        <v>134</v>
      </c>
      <c r="B98">
        <v>44</v>
      </c>
      <c r="C98" t="s">
        <v>11</v>
      </c>
      <c r="D98" t="s">
        <v>23</v>
      </c>
      <c r="E98" s="1">
        <v>46196</v>
      </c>
      <c r="F98" t="s">
        <v>13</v>
      </c>
      <c r="G98" t="s">
        <v>14</v>
      </c>
      <c r="H98" t="s">
        <v>15</v>
      </c>
      <c r="I98">
        <v>4</v>
      </c>
      <c r="J98" t="s">
        <v>48</v>
      </c>
    </row>
    <row r="99" spans="1:10" x14ac:dyDescent="0.3">
      <c r="A99" t="s">
        <v>135</v>
      </c>
      <c r="B99">
        <v>31</v>
      </c>
      <c r="C99" t="s">
        <v>25</v>
      </c>
      <c r="D99" t="s">
        <v>35</v>
      </c>
      <c r="E99" s="1">
        <v>46096</v>
      </c>
      <c r="F99" t="s">
        <v>87</v>
      </c>
      <c r="G99" t="s">
        <v>37</v>
      </c>
      <c r="H99" t="s">
        <v>15</v>
      </c>
      <c r="I99">
        <v>10</v>
      </c>
      <c r="J99" t="s">
        <v>16</v>
      </c>
    </row>
    <row r="100" spans="1:10" x14ac:dyDescent="0.3">
      <c r="A100" t="s">
        <v>136</v>
      </c>
      <c r="B100">
        <v>23</v>
      </c>
      <c r="C100" t="s">
        <v>25</v>
      </c>
      <c r="D100" t="s">
        <v>35</v>
      </c>
      <c r="E100" s="1">
        <v>46075</v>
      </c>
      <c r="F100" t="s">
        <v>45</v>
      </c>
      <c r="G100" t="s">
        <v>37</v>
      </c>
      <c r="H100" t="s">
        <v>15</v>
      </c>
      <c r="I100">
        <v>9</v>
      </c>
      <c r="J100" t="s">
        <v>16</v>
      </c>
    </row>
    <row r="101" spans="1:10" x14ac:dyDescent="0.3">
      <c r="A101" t="s">
        <v>137</v>
      </c>
      <c r="B101">
        <v>46</v>
      </c>
      <c r="C101" t="s">
        <v>11</v>
      </c>
      <c r="D101" t="s">
        <v>35</v>
      </c>
      <c r="E101" s="1">
        <v>46095</v>
      </c>
      <c r="F101" t="s">
        <v>87</v>
      </c>
      <c r="G101" t="s">
        <v>37</v>
      </c>
      <c r="H101" t="s">
        <v>15</v>
      </c>
      <c r="I101">
        <v>2</v>
      </c>
      <c r="J101" t="s">
        <v>16</v>
      </c>
    </row>
    <row r="102" spans="1:10" x14ac:dyDescent="0.3">
      <c r="A102" t="s">
        <v>138</v>
      </c>
      <c r="B102">
        <v>42</v>
      </c>
      <c r="C102" t="s">
        <v>25</v>
      </c>
      <c r="D102" t="s">
        <v>33</v>
      </c>
      <c r="E102" s="1">
        <v>46045</v>
      </c>
      <c r="F102" t="s">
        <v>19</v>
      </c>
      <c r="G102" t="s">
        <v>19</v>
      </c>
      <c r="H102" t="s">
        <v>20</v>
      </c>
      <c r="J102" t="s">
        <v>21</v>
      </c>
    </row>
    <row r="103" spans="1:10" x14ac:dyDescent="0.3">
      <c r="A103" t="s">
        <v>139</v>
      </c>
      <c r="B103">
        <v>63</v>
      </c>
      <c r="C103" t="s">
        <v>25</v>
      </c>
      <c r="D103" t="s">
        <v>12</v>
      </c>
      <c r="E103" s="1">
        <v>46061</v>
      </c>
      <c r="F103" t="s">
        <v>52</v>
      </c>
      <c r="G103" t="s">
        <v>14</v>
      </c>
      <c r="H103" t="s">
        <v>15</v>
      </c>
      <c r="I103">
        <v>2</v>
      </c>
      <c r="J103" t="s">
        <v>42</v>
      </c>
    </row>
    <row r="104" spans="1:10" x14ac:dyDescent="0.3">
      <c r="A104" t="s">
        <v>140</v>
      </c>
      <c r="B104">
        <v>71</v>
      </c>
      <c r="C104" t="s">
        <v>11</v>
      </c>
      <c r="D104" t="s">
        <v>33</v>
      </c>
      <c r="E104" s="1">
        <v>46133</v>
      </c>
      <c r="F104" t="s">
        <v>45</v>
      </c>
      <c r="G104" t="s">
        <v>14</v>
      </c>
      <c r="H104" t="s">
        <v>15</v>
      </c>
      <c r="I104">
        <v>8</v>
      </c>
      <c r="J104" t="s">
        <v>42</v>
      </c>
    </row>
    <row r="105" spans="1:10" x14ac:dyDescent="0.3">
      <c r="A105" t="s">
        <v>141</v>
      </c>
      <c r="B105">
        <v>75</v>
      </c>
      <c r="C105" t="s">
        <v>11</v>
      </c>
      <c r="D105" t="s">
        <v>18</v>
      </c>
      <c r="E105" s="1">
        <v>46188</v>
      </c>
      <c r="F105" t="s">
        <v>13</v>
      </c>
      <c r="G105" t="s">
        <v>70</v>
      </c>
      <c r="H105" t="s">
        <v>15</v>
      </c>
      <c r="I105">
        <v>5</v>
      </c>
      <c r="J105" t="s">
        <v>16</v>
      </c>
    </row>
    <row r="106" spans="1:10" x14ac:dyDescent="0.3">
      <c r="A106" t="s">
        <v>142</v>
      </c>
      <c r="B106">
        <v>65</v>
      </c>
      <c r="C106" t="s">
        <v>25</v>
      </c>
      <c r="D106" t="s">
        <v>23</v>
      </c>
      <c r="E106" s="1">
        <v>46179</v>
      </c>
      <c r="F106" t="s">
        <v>19</v>
      </c>
      <c r="G106" t="s">
        <v>19</v>
      </c>
      <c r="H106" t="s">
        <v>20</v>
      </c>
      <c r="J106" t="s">
        <v>21</v>
      </c>
    </row>
    <row r="107" spans="1:10" x14ac:dyDescent="0.3">
      <c r="A107" t="s">
        <v>143</v>
      </c>
      <c r="B107">
        <v>32</v>
      </c>
      <c r="C107" t="s">
        <v>11</v>
      </c>
      <c r="D107" t="s">
        <v>27</v>
      </c>
      <c r="E107" s="1">
        <v>46159</v>
      </c>
      <c r="F107" t="s">
        <v>19</v>
      </c>
      <c r="G107" t="s">
        <v>19</v>
      </c>
      <c r="H107" t="s">
        <v>20</v>
      </c>
      <c r="J107" t="s">
        <v>21</v>
      </c>
    </row>
    <row r="108" spans="1:10" x14ac:dyDescent="0.3">
      <c r="A108" t="s">
        <v>144</v>
      </c>
      <c r="B108">
        <v>33</v>
      </c>
      <c r="C108" t="s">
        <v>25</v>
      </c>
      <c r="D108" t="s">
        <v>18</v>
      </c>
      <c r="E108" s="1">
        <v>46024</v>
      </c>
      <c r="F108" t="s">
        <v>19</v>
      </c>
      <c r="G108" t="s">
        <v>19</v>
      </c>
      <c r="H108" t="s">
        <v>20</v>
      </c>
      <c r="J108" t="s">
        <v>21</v>
      </c>
    </row>
    <row r="109" spans="1:10" x14ac:dyDescent="0.3">
      <c r="A109" t="s">
        <v>145</v>
      </c>
      <c r="B109">
        <v>24</v>
      </c>
      <c r="C109" t="s">
        <v>11</v>
      </c>
      <c r="D109" t="s">
        <v>18</v>
      </c>
      <c r="E109" s="1">
        <v>46060</v>
      </c>
      <c r="F109" t="s">
        <v>19</v>
      </c>
      <c r="G109" t="s">
        <v>19</v>
      </c>
      <c r="H109" t="s">
        <v>20</v>
      </c>
      <c r="J109" t="s">
        <v>21</v>
      </c>
    </row>
    <row r="110" spans="1:10" x14ac:dyDescent="0.3">
      <c r="A110" t="s">
        <v>146</v>
      </c>
      <c r="B110">
        <v>59</v>
      </c>
      <c r="C110" t="s">
        <v>11</v>
      </c>
      <c r="D110" t="s">
        <v>29</v>
      </c>
      <c r="E110" s="1">
        <v>46087</v>
      </c>
      <c r="F110" t="s">
        <v>19</v>
      </c>
      <c r="G110" t="s">
        <v>19</v>
      </c>
      <c r="H110" t="s">
        <v>20</v>
      </c>
      <c r="J110" t="s">
        <v>21</v>
      </c>
    </row>
    <row r="111" spans="1:10" x14ac:dyDescent="0.3">
      <c r="A111" t="s">
        <v>147</v>
      </c>
      <c r="B111">
        <v>52</v>
      </c>
      <c r="C111" t="s">
        <v>25</v>
      </c>
      <c r="D111" t="s">
        <v>27</v>
      </c>
      <c r="E111" s="1">
        <v>46094</v>
      </c>
      <c r="F111" t="s">
        <v>19</v>
      </c>
      <c r="G111" t="s">
        <v>19</v>
      </c>
      <c r="H111" t="s">
        <v>20</v>
      </c>
      <c r="J111" t="s">
        <v>21</v>
      </c>
    </row>
    <row r="112" spans="1:10" x14ac:dyDescent="0.3">
      <c r="A112" t="s">
        <v>148</v>
      </c>
      <c r="B112">
        <v>48</v>
      </c>
      <c r="C112" t="s">
        <v>11</v>
      </c>
      <c r="D112" t="s">
        <v>27</v>
      </c>
      <c r="E112" s="1">
        <v>46161</v>
      </c>
      <c r="F112" t="s">
        <v>19</v>
      </c>
      <c r="G112" t="s">
        <v>19</v>
      </c>
      <c r="H112" t="s">
        <v>20</v>
      </c>
      <c r="J112" t="s">
        <v>21</v>
      </c>
    </row>
    <row r="113" spans="1:10" x14ac:dyDescent="0.3">
      <c r="A113" t="s">
        <v>149</v>
      </c>
      <c r="B113">
        <v>34</v>
      </c>
      <c r="C113" t="s">
        <v>25</v>
      </c>
      <c r="D113" t="s">
        <v>23</v>
      </c>
      <c r="E113" s="1">
        <v>46027</v>
      </c>
      <c r="F113" t="s">
        <v>41</v>
      </c>
      <c r="G113" t="s">
        <v>14</v>
      </c>
      <c r="H113" t="s">
        <v>15</v>
      </c>
      <c r="I113">
        <v>9</v>
      </c>
      <c r="J113" t="s">
        <v>42</v>
      </c>
    </row>
    <row r="114" spans="1:10" x14ac:dyDescent="0.3">
      <c r="A114" t="s">
        <v>150</v>
      </c>
      <c r="B114">
        <v>45</v>
      </c>
      <c r="C114" t="s">
        <v>11</v>
      </c>
      <c r="D114" t="s">
        <v>23</v>
      </c>
      <c r="E114" s="1">
        <v>46148</v>
      </c>
      <c r="F114" t="s">
        <v>19</v>
      </c>
      <c r="G114" t="s">
        <v>19</v>
      </c>
      <c r="H114" t="s">
        <v>20</v>
      </c>
      <c r="J114" t="s">
        <v>21</v>
      </c>
    </row>
    <row r="115" spans="1:10" x14ac:dyDescent="0.3">
      <c r="A115" t="s">
        <v>151</v>
      </c>
      <c r="B115">
        <v>39</v>
      </c>
      <c r="C115" t="s">
        <v>11</v>
      </c>
      <c r="D115" t="s">
        <v>18</v>
      </c>
      <c r="E115" s="1">
        <v>46178</v>
      </c>
      <c r="F115" t="s">
        <v>19</v>
      </c>
      <c r="G115" t="s">
        <v>19</v>
      </c>
      <c r="H115" t="s">
        <v>20</v>
      </c>
      <c r="J115" t="s">
        <v>21</v>
      </c>
    </row>
    <row r="116" spans="1:10" x14ac:dyDescent="0.3">
      <c r="A116" t="s">
        <v>152</v>
      </c>
      <c r="B116">
        <v>61</v>
      </c>
      <c r="C116" t="s">
        <v>11</v>
      </c>
      <c r="D116" t="s">
        <v>23</v>
      </c>
      <c r="E116" s="1">
        <v>46072</v>
      </c>
      <c r="F116" t="s">
        <v>19</v>
      </c>
      <c r="G116" t="s">
        <v>19</v>
      </c>
      <c r="H116" t="s">
        <v>20</v>
      </c>
      <c r="J116" t="s">
        <v>21</v>
      </c>
    </row>
    <row r="117" spans="1:10" x14ac:dyDescent="0.3">
      <c r="A117" t="s">
        <v>153</v>
      </c>
      <c r="B117">
        <v>59</v>
      </c>
      <c r="C117" t="s">
        <v>11</v>
      </c>
      <c r="D117" t="s">
        <v>35</v>
      </c>
      <c r="E117" s="1">
        <v>46168</v>
      </c>
      <c r="F117" t="s">
        <v>45</v>
      </c>
      <c r="G117" t="s">
        <v>37</v>
      </c>
      <c r="H117" t="s">
        <v>15</v>
      </c>
      <c r="I117">
        <v>12</v>
      </c>
      <c r="J117" t="s">
        <v>16</v>
      </c>
    </row>
    <row r="118" spans="1:10" x14ac:dyDescent="0.3">
      <c r="A118" t="s">
        <v>154</v>
      </c>
      <c r="B118">
        <v>32</v>
      </c>
      <c r="C118" t="s">
        <v>25</v>
      </c>
      <c r="D118" t="s">
        <v>12</v>
      </c>
      <c r="E118" s="1">
        <v>46078</v>
      </c>
      <c r="F118" t="s">
        <v>19</v>
      </c>
      <c r="G118" t="s">
        <v>19</v>
      </c>
      <c r="H118" t="s">
        <v>20</v>
      </c>
      <c r="J118" t="s">
        <v>21</v>
      </c>
    </row>
    <row r="119" spans="1:10" x14ac:dyDescent="0.3">
      <c r="A119" t="s">
        <v>155</v>
      </c>
      <c r="B119">
        <v>71</v>
      </c>
      <c r="C119" t="s">
        <v>25</v>
      </c>
      <c r="D119" t="s">
        <v>12</v>
      </c>
      <c r="E119" s="1">
        <v>46112</v>
      </c>
      <c r="F119" t="s">
        <v>19</v>
      </c>
      <c r="G119" t="s">
        <v>19</v>
      </c>
      <c r="H119" t="s">
        <v>20</v>
      </c>
      <c r="J119" t="s">
        <v>21</v>
      </c>
    </row>
    <row r="120" spans="1:10" x14ac:dyDescent="0.3">
      <c r="A120" t="s">
        <v>156</v>
      </c>
      <c r="B120">
        <v>38</v>
      </c>
      <c r="C120" t="s">
        <v>11</v>
      </c>
      <c r="D120" t="s">
        <v>27</v>
      </c>
      <c r="E120" s="1">
        <v>46162</v>
      </c>
      <c r="F120" t="s">
        <v>19</v>
      </c>
      <c r="G120" t="s">
        <v>19</v>
      </c>
      <c r="H120" t="s">
        <v>20</v>
      </c>
      <c r="J120" t="s">
        <v>21</v>
      </c>
    </row>
    <row r="121" spans="1:10" x14ac:dyDescent="0.3">
      <c r="A121" t="s">
        <v>157</v>
      </c>
      <c r="B121">
        <v>38</v>
      </c>
      <c r="C121" t="s">
        <v>11</v>
      </c>
      <c r="D121" t="s">
        <v>39</v>
      </c>
      <c r="E121" s="1">
        <v>46051</v>
      </c>
      <c r="F121" t="s">
        <v>19</v>
      </c>
      <c r="G121" t="s">
        <v>19</v>
      </c>
      <c r="H121" t="s">
        <v>20</v>
      </c>
      <c r="J121" t="s">
        <v>21</v>
      </c>
    </row>
    <row r="122" spans="1:10" x14ac:dyDescent="0.3">
      <c r="A122" t="s">
        <v>158</v>
      </c>
      <c r="B122">
        <v>72</v>
      </c>
      <c r="C122" t="s">
        <v>25</v>
      </c>
      <c r="D122" t="s">
        <v>39</v>
      </c>
      <c r="E122" s="1">
        <v>46082</v>
      </c>
      <c r="F122" t="s">
        <v>19</v>
      </c>
      <c r="G122" t="s">
        <v>19</v>
      </c>
      <c r="H122" t="s">
        <v>20</v>
      </c>
      <c r="J122" t="s">
        <v>21</v>
      </c>
    </row>
    <row r="123" spans="1:10" x14ac:dyDescent="0.3">
      <c r="A123" t="s">
        <v>159</v>
      </c>
      <c r="B123">
        <v>51</v>
      </c>
      <c r="C123" t="s">
        <v>11</v>
      </c>
      <c r="D123" t="s">
        <v>12</v>
      </c>
      <c r="E123" s="1">
        <v>46042</v>
      </c>
      <c r="F123" t="s">
        <v>45</v>
      </c>
      <c r="G123" t="s">
        <v>14</v>
      </c>
      <c r="H123" t="s">
        <v>15</v>
      </c>
      <c r="I123">
        <v>12</v>
      </c>
      <c r="J123" t="s">
        <v>48</v>
      </c>
    </row>
    <row r="124" spans="1:10" x14ac:dyDescent="0.3">
      <c r="A124" t="s">
        <v>160</v>
      </c>
      <c r="B124">
        <v>43</v>
      </c>
      <c r="C124" t="s">
        <v>25</v>
      </c>
      <c r="D124" t="s">
        <v>39</v>
      </c>
      <c r="E124" s="1">
        <v>46146</v>
      </c>
      <c r="F124" t="s">
        <v>19</v>
      </c>
      <c r="G124" t="s">
        <v>19</v>
      </c>
      <c r="H124" t="s">
        <v>20</v>
      </c>
      <c r="J124" t="s">
        <v>21</v>
      </c>
    </row>
    <row r="125" spans="1:10" x14ac:dyDescent="0.3">
      <c r="A125" t="s">
        <v>161</v>
      </c>
      <c r="B125">
        <v>57</v>
      </c>
      <c r="C125" t="s">
        <v>25</v>
      </c>
      <c r="D125" t="s">
        <v>23</v>
      </c>
      <c r="E125" s="1">
        <v>46104</v>
      </c>
      <c r="F125" t="s">
        <v>19</v>
      </c>
      <c r="G125" t="s">
        <v>19</v>
      </c>
      <c r="H125" t="s">
        <v>20</v>
      </c>
      <c r="J125" t="s">
        <v>21</v>
      </c>
    </row>
    <row r="126" spans="1:10" x14ac:dyDescent="0.3">
      <c r="A126" t="s">
        <v>162</v>
      </c>
      <c r="B126">
        <v>60</v>
      </c>
      <c r="C126" t="s">
        <v>11</v>
      </c>
      <c r="D126" t="s">
        <v>35</v>
      </c>
      <c r="E126" s="1">
        <v>46148</v>
      </c>
      <c r="F126" t="s">
        <v>19</v>
      </c>
      <c r="G126" t="s">
        <v>19</v>
      </c>
      <c r="H126" t="s">
        <v>20</v>
      </c>
      <c r="J126" t="s">
        <v>21</v>
      </c>
    </row>
    <row r="127" spans="1:10" x14ac:dyDescent="0.3">
      <c r="A127" t="s">
        <v>163</v>
      </c>
      <c r="B127">
        <v>34</v>
      </c>
      <c r="C127" t="s">
        <v>11</v>
      </c>
      <c r="D127" t="s">
        <v>29</v>
      </c>
      <c r="E127" s="1">
        <v>46070</v>
      </c>
      <c r="F127" t="s">
        <v>56</v>
      </c>
      <c r="G127" t="s">
        <v>37</v>
      </c>
      <c r="H127" t="s">
        <v>15</v>
      </c>
      <c r="I127">
        <v>7</v>
      </c>
      <c r="J127" t="s">
        <v>48</v>
      </c>
    </row>
    <row r="128" spans="1:10" x14ac:dyDescent="0.3">
      <c r="A128" t="s">
        <v>164</v>
      </c>
      <c r="B128">
        <v>33</v>
      </c>
      <c r="C128" t="s">
        <v>11</v>
      </c>
      <c r="D128" t="s">
        <v>39</v>
      </c>
      <c r="E128" s="1">
        <v>46052</v>
      </c>
      <c r="F128" t="s">
        <v>56</v>
      </c>
      <c r="G128" t="s">
        <v>14</v>
      </c>
      <c r="H128" t="s">
        <v>15</v>
      </c>
      <c r="I128">
        <v>7</v>
      </c>
      <c r="J128" t="s">
        <v>48</v>
      </c>
    </row>
    <row r="129" spans="1:10" x14ac:dyDescent="0.3">
      <c r="A129" t="s">
        <v>165</v>
      </c>
      <c r="B129">
        <v>50</v>
      </c>
      <c r="C129" t="s">
        <v>25</v>
      </c>
      <c r="D129" t="s">
        <v>39</v>
      </c>
      <c r="E129" s="1">
        <v>46059</v>
      </c>
      <c r="F129" t="s">
        <v>19</v>
      </c>
      <c r="G129" t="s">
        <v>19</v>
      </c>
      <c r="H129" t="s">
        <v>20</v>
      </c>
      <c r="J129" t="s">
        <v>21</v>
      </c>
    </row>
    <row r="130" spans="1:10" x14ac:dyDescent="0.3">
      <c r="A130" t="s">
        <v>166</v>
      </c>
      <c r="B130">
        <v>63</v>
      </c>
      <c r="C130" t="s">
        <v>25</v>
      </c>
      <c r="D130" t="s">
        <v>39</v>
      </c>
      <c r="E130" s="1">
        <v>46033</v>
      </c>
      <c r="F130" t="s">
        <v>36</v>
      </c>
      <c r="G130" t="s">
        <v>37</v>
      </c>
      <c r="H130" t="s">
        <v>15</v>
      </c>
      <c r="I130">
        <v>12</v>
      </c>
      <c r="J130" t="s">
        <v>42</v>
      </c>
    </row>
    <row r="131" spans="1:10" x14ac:dyDescent="0.3">
      <c r="A131" t="s">
        <v>167</v>
      </c>
      <c r="B131">
        <v>35</v>
      </c>
      <c r="C131" t="s">
        <v>25</v>
      </c>
      <c r="D131" t="s">
        <v>27</v>
      </c>
      <c r="E131" s="1">
        <v>46172</v>
      </c>
      <c r="F131" t="s">
        <v>45</v>
      </c>
      <c r="G131" t="s">
        <v>14</v>
      </c>
      <c r="H131" t="s">
        <v>15</v>
      </c>
      <c r="I131">
        <v>12</v>
      </c>
      <c r="J131" t="s">
        <v>48</v>
      </c>
    </row>
    <row r="132" spans="1:10" x14ac:dyDescent="0.3">
      <c r="A132" t="s">
        <v>168</v>
      </c>
      <c r="B132">
        <v>50</v>
      </c>
      <c r="C132" t="s">
        <v>11</v>
      </c>
      <c r="D132" t="s">
        <v>27</v>
      </c>
      <c r="E132" s="1">
        <v>46054</v>
      </c>
      <c r="F132" t="s">
        <v>45</v>
      </c>
      <c r="G132" t="s">
        <v>70</v>
      </c>
      <c r="H132" t="s">
        <v>15</v>
      </c>
      <c r="I132">
        <v>2</v>
      </c>
      <c r="J132" t="s">
        <v>42</v>
      </c>
    </row>
    <row r="133" spans="1:10" x14ac:dyDescent="0.3">
      <c r="A133" t="s">
        <v>169</v>
      </c>
      <c r="B133">
        <v>72</v>
      </c>
      <c r="C133" t="s">
        <v>11</v>
      </c>
      <c r="D133" t="s">
        <v>18</v>
      </c>
      <c r="E133" s="1">
        <v>46180</v>
      </c>
      <c r="F133" t="s">
        <v>19</v>
      </c>
      <c r="G133" t="s">
        <v>19</v>
      </c>
      <c r="H133" t="s">
        <v>20</v>
      </c>
      <c r="J133" t="s">
        <v>21</v>
      </c>
    </row>
    <row r="134" spans="1:10" x14ac:dyDescent="0.3">
      <c r="A134" t="s">
        <v>170</v>
      </c>
      <c r="B134">
        <v>31</v>
      </c>
      <c r="C134" t="s">
        <v>25</v>
      </c>
      <c r="D134" t="s">
        <v>27</v>
      </c>
      <c r="E134" s="1">
        <v>46035</v>
      </c>
      <c r="F134" t="s">
        <v>19</v>
      </c>
      <c r="G134" t="s">
        <v>19</v>
      </c>
      <c r="H134" t="s">
        <v>20</v>
      </c>
      <c r="J134" t="s">
        <v>21</v>
      </c>
    </row>
    <row r="135" spans="1:10" x14ac:dyDescent="0.3">
      <c r="A135" t="s">
        <v>171</v>
      </c>
      <c r="B135">
        <v>57</v>
      </c>
      <c r="C135" t="s">
        <v>25</v>
      </c>
      <c r="D135" t="s">
        <v>18</v>
      </c>
      <c r="E135" s="1">
        <v>46043</v>
      </c>
      <c r="F135" t="s">
        <v>19</v>
      </c>
      <c r="G135" t="s">
        <v>19</v>
      </c>
      <c r="H135" t="s">
        <v>20</v>
      </c>
      <c r="J135" t="s">
        <v>21</v>
      </c>
    </row>
    <row r="136" spans="1:10" x14ac:dyDescent="0.3">
      <c r="A136" t="s">
        <v>172</v>
      </c>
      <c r="B136">
        <v>25</v>
      </c>
      <c r="C136" t="s">
        <v>11</v>
      </c>
      <c r="D136" t="s">
        <v>18</v>
      </c>
      <c r="E136" s="1">
        <v>46026</v>
      </c>
      <c r="F136" t="s">
        <v>19</v>
      </c>
      <c r="G136" t="s">
        <v>19</v>
      </c>
      <c r="H136" t="s">
        <v>20</v>
      </c>
      <c r="J136" t="s">
        <v>21</v>
      </c>
    </row>
    <row r="137" spans="1:10" x14ac:dyDescent="0.3">
      <c r="A137" t="s">
        <v>173</v>
      </c>
      <c r="B137">
        <v>80</v>
      </c>
      <c r="C137" t="s">
        <v>25</v>
      </c>
      <c r="D137" t="s">
        <v>29</v>
      </c>
      <c r="E137" s="1">
        <v>46113</v>
      </c>
      <c r="F137" t="s">
        <v>87</v>
      </c>
      <c r="G137" t="s">
        <v>37</v>
      </c>
      <c r="H137" t="s">
        <v>15</v>
      </c>
      <c r="I137">
        <v>7</v>
      </c>
      <c r="J137" t="s">
        <v>16</v>
      </c>
    </row>
    <row r="138" spans="1:10" x14ac:dyDescent="0.3">
      <c r="A138" t="s">
        <v>174</v>
      </c>
      <c r="B138">
        <v>60</v>
      </c>
      <c r="C138" t="s">
        <v>11</v>
      </c>
      <c r="D138" t="s">
        <v>39</v>
      </c>
      <c r="E138" s="1">
        <v>46048</v>
      </c>
      <c r="F138" t="s">
        <v>41</v>
      </c>
      <c r="G138" t="s">
        <v>14</v>
      </c>
      <c r="H138" t="s">
        <v>15</v>
      </c>
      <c r="I138">
        <v>2</v>
      </c>
      <c r="J138" t="s">
        <v>16</v>
      </c>
    </row>
    <row r="139" spans="1:10" x14ac:dyDescent="0.3">
      <c r="A139" t="s">
        <v>175</v>
      </c>
      <c r="B139">
        <v>62</v>
      </c>
      <c r="C139" t="s">
        <v>11</v>
      </c>
      <c r="D139" t="s">
        <v>39</v>
      </c>
      <c r="E139" s="1">
        <v>46154</v>
      </c>
      <c r="F139" t="s">
        <v>19</v>
      </c>
      <c r="G139" t="s">
        <v>19</v>
      </c>
      <c r="H139" t="s">
        <v>20</v>
      </c>
      <c r="J139" t="s">
        <v>21</v>
      </c>
    </row>
    <row r="140" spans="1:10" x14ac:dyDescent="0.3">
      <c r="A140" t="s">
        <v>176</v>
      </c>
      <c r="B140">
        <v>49</v>
      </c>
      <c r="C140" t="s">
        <v>11</v>
      </c>
      <c r="D140" t="s">
        <v>12</v>
      </c>
      <c r="E140" s="1">
        <v>46167</v>
      </c>
      <c r="F140" t="s">
        <v>19</v>
      </c>
      <c r="G140" t="s">
        <v>19</v>
      </c>
      <c r="H140" t="s">
        <v>20</v>
      </c>
      <c r="J140" t="s">
        <v>21</v>
      </c>
    </row>
    <row r="141" spans="1:10" x14ac:dyDescent="0.3">
      <c r="A141" t="s">
        <v>177</v>
      </c>
      <c r="B141">
        <v>44</v>
      </c>
      <c r="C141" t="s">
        <v>11</v>
      </c>
      <c r="D141" t="s">
        <v>23</v>
      </c>
      <c r="E141" s="1">
        <v>46069</v>
      </c>
      <c r="F141" t="s">
        <v>19</v>
      </c>
      <c r="G141" t="s">
        <v>19</v>
      </c>
      <c r="H141" t="s">
        <v>20</v>
      </c>
      <c r="J141" t="s">
        <v>21</v>
      </c>
    </row>
    <row r="142" spans="1:10" x14ac:dyDescent="0.3">
      <c r="A142" t="s">
        <v>178</v>
      </c>
      <c r="B142">
        <v>46</v>
      </c>
      <c r="C142" t="s">
        <v>11</v>
      </c>
      <c r="D142" t="s">
        <v>29</v>
      </c>
      <c r="E142" s="1">
        <v>46073</v>
      </c>
      <c r="F142" t="s">
        <v>36</v>
      </c>
      <c r="G142" t="s">
        <v>14</v>
      </c>
      <c r="H142" t="s">
        <v>15</v>
      </c>
      <c r="I142">
        <v>9</v>
      </c>
      <c r="J142" t="s">
        <v>16</v>
      </c>
    </row>
    <row r="143" spans="1:10" x14ac:dyDescent="0.3">
      <c r="A143" t="s">
        <v>179</v>
      </c>
      <c r="B143">
        <v>57</v>
      </c>
      <c r="C143" t="s">
        <v>25</v>
      </c>
      <c r="D143" t="s">
        <v>12</v>
      </c>
      <c r="E143" s="1">
        <v>46145</v>
      </c>
      <c r="F143" t="s">
        <v>19</v>
      </c>
      <c r="G143" t="s">
        <v>19</v>
      </c>
      <c r="H143" t="s">
        <v>20</v>
      </c>
      <c r="J143" t="s">
        <v>21</v>
      </c>
    </row>
    <row r="144" spans="1:10" x14ac:dyDescent="0.3">
      <c r="A144" t="s">
        <v>180</v>
      </c>
      <c r="B144">
        <v>47</v>
      </c>
      <c r="C144" t="s">
        <v>25</v>
      </c>
      <c r="D144" t="s">
        <v>29</v>
      </c>
      <c r="E144" s="1">
        <v>46081</v>
      </c>
      <c r="F144" t="s">
        <v>19</v>
      </c>
      <c r="G144" t="s">
        <v>19</v>
      </c>
      <c r="H144" t="s">
        <v>20</v>
      </c>
      <c r="J144" t="s">
        <v>21</v>
      </c>
    </row>
    <row r="145" spans="1:10" x14ac:dyDescent="0.3">
      <c r="A145" t="s">
        <v>181</v>
      </c>
      <c r="B145">
        <v>59</v>
      </c>
      <c r="C145" t="s">
        <v>11</v>
      </c>
      <c r="D145" t="s">
        <v>29</v>
      </c>
      <c r="E145" s="1">
        <v>46064</v>
      </c>
      <c r="F145" t="s">
        <v>41</v>
      </c>
      <c r="G145" t="s">
        <v>37</v>
      </c>
      <c r="H145" t="s">
        <v>15</v>
      </c>
      <c r="I145">
        <v>5</v>
      </c>
      <c r="J145" t="s">
        <v>42</v>
      </c>
    </row>
    <row r="146" spans="1:10" x14ac:dyDescent="0.3">
      <c r="A146" t="s">
        <v>182</v>
      </c>
      <c r="B146">
        <v>77</v>
      </c>
      <c r="C146" t="s">
        <v>11</v>
      </c>
      <c r="D146" t="s">
        <v>18</v>
      </c>
      <c r="E146" s="1">
        <v>46111</v>
      </c>
      <c r="F146" t="s">
        <v>65</v>
      </c>
      <c r="G146" t="s">
        <v>37</v>
      </c>
      <c r="H146" t="s">
        <v>15</v>
      </c>
      <c r="I146">
        <v>9</v>
      </c>
      <c r="J146" t="s">
        <v>42</v>
      </c>
    </row>
    <row r="147" spans="1:10" x14ac:dyDescent="0.3">
      <c r="A147" t="s">
        <v>183</v>
      </c>
      <c r="B147">
        <v>39</v>
      </c>
      <c r="C147" t="s">
        <v>11</v>
      </c>
      <c r="D147" t="s">
        <v>23</v>
      </c>
      <c r="E147" s="1">
        <v>46120</v>
      </c>
      <c r="F147" t="s">
        <v>19</v>
      </c>
      <c r="G147" t="s">
        <v>19</v>
      </c>
      <c r="H147" t="s">
        <v>20</v>
      </c>
      <c r="J147" t="s">
        <v>21</v>
      </c>
    </row>
    <row r="148" spans="1:10" x14ac:dyDescent="0.3">
      <c r="A148" t="s">
        <v>184</v>
      </c>
      <c r="B148">
        <v>30</v>
      </c>
      <c r="C148" t="s">
        <v>11</v>
      </c>
      <c r="D148" t="s">
        <v>18</v>
      </c>
      <c r="E148" s="1">
        <v>46189</v>
      </c>
      <c r="F148" t="s">
        <v>36</v>
      </c>
      <c r="G148" t="s">
        <v>37</v>
      </c>
      <c r="H148" t="s">
        <v>15</v>
      </c>
      <c r="I148">
        <v>9</v>
      </c>
      <c r="J148" t="s">
        <v>16</v>
      </c>
    </row>
    <row r="149" spans="1:10" x14ac:dyDescent="0.3">
      <c r="A149" t="s">
        <v>185</v>
      </c>
      <c r="B149">
        <v>25</v>
      </c>
      <c r="C149" t="s">
        <v>11</v>
      </c>
      <c r="D149" t="s">
        <v>35</v>
      </c>
      <c r="E149" s="1">
        <v>46162</v>
      </c>
      <c r="F149" t="s">
        <v>19</v>
      </c>
      <c r="G149" t="s">
        <v>19</v>
      </c>
      <c r="H149" t="s">
        <v>20</v>
      </c>
      <c r="J149" t="s">
        <v>21</v>
      </c>
    </row>
    <row r="150" spans="1:10" x14ac:dyDescent="0.3">
      <c r="A150" t="s">
        <v>186</v>
      </c>
      <c r="B150">
        <v>23</v>
      </c>
      <c r="C150" t="s">
        <v>11</v>
      </c>
      <c r="D150" t="s">
        <v>18</v>
      </c>
      <c r="E150" s="1">
        <v>46039</v>
      </c>
      <c r="F150" t="s">
        <v>19</v>
      </c>
      <c r="G150" t="s">
        <v>19</v>
      </c>
      <c r="H150" t="s">
        <v>20</v>
      </c>
      <c r="J150" t="s">
        <v>21</v>
      </c>
    </row>
    <row r="151" spans="1:10" x14ac:dyDescent="0.3">
      <c r="A151" t="s">
        <v>187</v>
      </c>
      <c r="B151">
        <v>80</v>
      </c>
      <c r="C151" t="s">
        <v>11</v>
      </c>
      <c r="D151" t="s">
        <v>12</v>
      </c>
      <c r="E151" s="1">
        <v>46055</v>
      </c>
      <c r="F151" t="s">
        <v>36</v>
      </c>
      <c r="G151" t="s">
        <v>14</v>
      </c>
      <c r="H151" t="s">
        <v>15</v>
      </c>
      <c r="I151">
        <v>4</v>
      </c>
      <c r="J151" t="s">
        <v>42</v>
      </c>
    </row>
    <row r="152" spans="1:10" x14ac:dyDescent="0.3">
      <c r="A152" t="s">
        <v>188</v>
      </c>
      <c r="B152">
        <v>74</v>
      </c>
      <c r="C152" t="s">
        <v>11</v>
      </c>
      <c r="D152" t="s">
        <v>18</v>
      </c>
      <c r="E152" s="1">
        <v>46162</v>
      </c>
      <c r="F152" t="s">
        <v>19</v>
      </c>
      <c r="G152" t="s">
        <v>19</v>
      </c>
      <c r="H152" t="s">
        <v>20</v>
      </c>
      <c r="J152" t="s">
        <v>21</v>
      </c>
    </row>
    <row r="153" spans="1:10" x14ac:dyDescent="0.3">
      <c r="A153" t="s">
        <v>189</v>
      </c>
      <c r="B153">
        <v>70</v>
      </c>
      <c r="C153" t="s">
        <v>11</v>
      </c>
      <c r="D153" t="s">
        <v>33</v>
      </c>
      <c r="E153" s="1">
        <v>46111</v>
      </c>
      <c r="F153" t="s">
        <v>19</v>
      </c>
      <c r="G153" t="s">
        <v>19</v>
      </c>
      <c r="H153" t="s">
        <v>20</v>
      </c>
      <c r="J153" t="s">
        <v>21</v>
      </c>
    </row>
    <row r="154" spans="1:10" x14ac:dyDescent="0.3">
      <c r="A154" t="s">
        <v>190</v>
      </c>
      <c r="B154">
        <v>55</v>
      </c>
      <c r="C154" t="s">
        <v>25</v>
      </c>
      <c r="D154" t="s">
        <v>29</v>
      </c>
      <c r="E154" s="1">
        <v>46163</v>
      </c>
      <c r="F154" t="s">
        <v>13</v>
      </c>
      <c r="G154" t="s">
        <v>70</v>
      </c>
      <c r="H154" t="s">
        <v>15</v>
      </c>
      <c r="I154">
        <v>7</v>
      </c>
      <c r="J154" t="s">
        <v>48</v>
      </c>
    </row>
    <row r="155" spans="1:10" x14ac:dyDescent="0.3">
      <c r="A155" t="s">
        <v>191</v>
      </c>
      <c r="B155">
        <v>35</v>
      </c>
      <c r="C155" t="s">
        <v>11</v>
      </c>
      <c r="D155" t="s">
        <v>33</v>
      </c>
      <c r="E155" s="1">
        <v>46119</v>
      </c>
      <c r="F155" t="s">
        <v>45</v>
      </c>
      <c r="G155" t="s">
        <v>70</v>
      </c>
      <c r="H155" t="s">
        <v>15</v>
      </c>
      <c r="I155">
        <v>4</v>
      </c>
      <c r="J155" t="s">
        <v>48</v>
      </c>
    </row>
    <row r="156" spans="1:10" x14ac:dyDescent="0.3">
      <c r="A156" t="s">
        <v>192</v>
      </c>
      <c r="B156">
        <v>70</v>
      </c>
      <c r="C156" t="s">
        <v>25</v>
      </c>
      <c r="D156" t="s">
        <v>23</v>
      </c>
      <c r="E156" s="1">
        <v>46102</v>
      </c>
      <c r="F156" t="s">
        <v>36</v>
      </c>
      <c r="G156" t="s">
        <v>14</v>
      </c>
      <c r="H156" t="s">
        <v>15</v>
      </c>
      <c r="I156">
        <v>13</v>
      </c>
      <c r="J156" t="s">
        <v>42</v>
      </c>
    </row>
    <row r="157" spans="1:10" x14ac:dyDescent="0.3">
      <c r="A157" t="s">
        <v>193</v>
      </c>
      <c r="B157">
        <v>63</v>
      </c>
      <c r="C157" t="s">
        <v>25</v>
      </c>
      <c r="D157" t="s">
        <v>27</v>
      </c>
      <c r="E157" s="1">
        <v>46187</v>
      </c>
      <c r="F157" t="s">
        <v>87</v>
      </c>
      <c r="G157" t="s">
        <v>14</v>
      </c>
      <c r="H157" t="s">
        <v>15</v>
      </c>
      <c r="I157">
        <v>1</v>
      </c>
      <c r="J157" t="s">
        <v>48</v>
      </c>
    </row>
    <row r="158" spans="1:10" x14ac:dyDescent="0.3">
      <c r="A158" t="s">
        <v>194</v>
      </c>
      <c r="B158">
        <v>62</v>
      </c>
      <c r="C158" t="s">
        <v>11</v>
      </c>
      <c r="D158" t="s">
        <v>27</v>
      </c>
      <c r="E158" s="1">
        <v>46166</v>
      </c>
      <c r="F158" t="s">
        <v>19</v>
      </c>
      <c r="G158" t="s">
        <v>19</v>
      </c>
      <c r="H158" t="s">
        <v>20</v>
      </c>
      <c r="J158" t="s">
        <v>21</v>
      </c>
    </row>
    <row r="159" spans="1:10" x14ac:dyDescent="0.3">
      <c r="A159" t="s">
        <v>195</v>
      </c>
      <c r="B159">
        <v>66</v>
      </c>
      <c r="C159" t="s">
        <v>11</v>
      </c>
      <c r="D159" t="s">
        <v>39</v>
      </c>
      <c r="E159" s="1">
        <v>46101</v>
      </c>
      <c r="F159" t="s">
        <v>45</v>
      </c>
      <c r="G159" t="s">
        <v>37</v>
      </c>
      <c r="H159" t="s">
        <v>15</v>
      </c>
      <c r="I159">
        <v>10</v>
      </c>
      <c r="J159" t="s">
        <v>16</v>
      </c>
    </row>
    <row r="160" spans="1:10" x14ac:dyDescent="0.3">
      <c r="A160" t="s">
        <v>196</v>
      </c>
      <c r="B160">
        <v>41</v>
      </c>
      <c r="C160" t="s">
        <v>11</v>
      </c>
      <c r="D160" t="s">
        <v>39</v>
      </c>
      <c r="E160" s="1">
        <v>46053</v>
      </c>
      <c r="F160" t="s">
        <v>45</v>
      </c>
      <c r="G160" t="s">
        <v>37</v>
      </c>
      <c r="H160" t="s">
        <v>15</v>
      </c>
      <c r="I160">
        <v>5</v>
      </c>
      <c r="J160" t="s">
        <v>16</v>
      </c>
    </row>
    <row r="161" spans="1:10" x14ac:dyDescent="0.3">
      <c r="A161" t="s">
        <v>197</v>
      </c>
      <c r="B161">
        <v>73</v>
      </c>
      <c r="C161" t="s">
        <v>11</v>
      </c>
      <c r="D161" t="s">
        <v>33</v>
      </c>
      <c r="E161" s="1">
        <v>46073</v>
      </c>
      <c r="F161" t="s">
        <v>19</v>
      </c>
      <c r="G161" t="s">
        <v>19</v>
      </c>
      <c r="H161" t="s">
        <v>20</v>
      </c>
      <c r="J161" t="s">
        <v>21</v>
      </c>
    </row>
    <row r="162" spans="1:10" x14ac:dyDescent="0.3">
      <c r="A162" t="s">
        <v>198</v>
      </c>
      <c r="B162">
        <v>37</v>
      </c>
      <c r="C162" t="s">
        <v>25</v>
      </c>
      <c r="D162" t="s">
        <v>18</v>
      </c>
      <c r="E162" s="1">
        <v>46066</v>
      </c>
      <c r="F162" t="s">
        <v>19</v>
      </c>
      <c r="G162" t="s">
        <v>19</v>
      </c>
      <c r="H162" t="s">
        <v>20</v>
      </c>
      <c r="J162" t="s">
        <v>21</v>
      </c>
    </row>
    <row r="163" spans="1:10" x14ac:dyDescent="0.3">
      <c r="A163" t="s">
        <v>199</v>
      </c>
      <c r="B163">
        <v>41</v>
      </c>
      <c r="C163" t="s">
        <v>25</v>
      </c>
      <c r="D163" t="s">
        <v>33</v>
      </c>
      <c r="E163" s="1">
        <v>46049</v>
      </c>
      <c r="F163" t="s">
        <v>19</v>
      </c>
      <c r="G163" t="s">
        <v>19</v>
      </c>
      <c r="H163" t="s">
        <v>20</v>
      </c>
      <c r="J163" t="s">
        <v>21</v>
      </c>
    </row>
    <row r="164" spans="1:10" x14ac:dyDescent="0.3">
      <c r="A164" t="s">
        <v>200</v>
      </c>
      <c r="B164">
        <v>73</v>
      </c>
      <c r="C164" t="s">
        <v>25</v>
      </c>
      <c r="D164" t="s">
        <v>27</v>
      </c>
      <c r="E164" s="1">
        <v>46115</v>
      </c>
      <c r="F164" t="s">
        <v>19</v>
      </c>
      <c r="G164" t="s">
        <v>19</v>
      </c>
      <c r="H164" t="s">
        <v>20</v>
      </c>
      <c r="J164" t="s">
        <v>21</v>
      </c>
    </row>
    <row r="165" spans="1:10" x14ac:dyDescent="0.3">
      <c r="A165" t="s">
        <v>201</v>
      </c>
      <c r="B165">
        <v>36</v>
      </c>
      <c r="C165" t="s">
        <v>25</v>
      </c>
      <c r="D165" t="s">
        <v>33</v>
      </c>
      <c r="E165" s="1">
        <v>46057</v>
      </c>
      <c r="F165" t="s">
        <v>19</v>
      </c>
      <c r="G165" t="s">
        <v>19</v>
      </c>
      <c r="H165" t="s">
        <v>20</v>
      </c>
      <c r="J165" t="s">
        <v>21</v>
      </c>
    </row>
    <row r="166" spans="1:10" x14ac:dyDescent="0.3">
      <c r="A166" t="s">
        <v>202</v>
      </c>
      <c r="B166">
        <v>55</v>
      </c>
      <c r="C166" t="s">
        <v>25</v>
      </c>
      <c r="D166" t="s">
        <v>29</v>
      </c>
      <c r="E166" s="1">
        <v>46035</v>
      </c>
      <c r="F166" t="s">
        <v>65</v>
      </c>
      <c r="G166" t="s">
        <v>37</v>
      </c>
      <c r="H166" t="s">
        <v>15</v>
      </c>
      <c r="I166">
        <v>9</v>
      </c>
      <c r="J166" t="s">
        <v>16</v>
      </c>
    </row>
    <row r="167" spans="1:10" x14ac:dyDescent="0.3">
      <c r="A167" t="s">
        <v>203</v>
      </c>
      <c r="B167">
        <v>48</v>
      </c>
      <c r="C167" t="s">
        <v>11</v>
      </c>
      <c r="D167" t="s">
        <v>23</v>
      </c>
      <c r="E167" s="1">
        <v>46152</v>
      </c>
      <c r="F167" t="s">
        <v>87</v>
      </c>
      <c r="G167" t="s">
        <v>14</v>
      </c>
      <c r="H167" t="s">
        <v>15</v>
      </c>
      <c r="I167">
        <v>7</v>
      </c>
      <c r="J167" t="s">
        <v>16</v>
      </c>
    </row>
    <row r="168" spans="1:10" x14ac:dyDescent="0.3">
      <c r="A168" t="s">
        <v>204</v>
      </c>
      <c r="B168">
        <v>49</v>
      </c>
      <c r="C168" t="s">
        <v>25</v>
      </c>
      <c r="D168" t="s">
        <v>18</v>
      </c>
      <c r="E168" s="1">
        <v>46068</v>
      </c>
      <c r="F168" t="s">
        <v>19</v>
      </c>
      <c r="G168" t="s">
        <v>19</v>
      </c>
      <c r="H168" t="s">
        <v>20</v>
      </c>
      <c r="J168" t="s">
        <v>21</v>
      </c>
    </row>
    <row r="169" spans="1:10" x14ac:dyDescent="0.3">
      <c r="A169" t="s">
        <v>205</v>
      </c>
      <c r="B169">
        <v>65</v>
      </c>
      <c r="C169" t="s">
        <v>11</v>
      </c>
      <c r="D169" t="s">
        <v>23</v>
      </c>
      <c r="E169" s="1">
        <v>46121</v>
      </c>
      <c r="F169" t="s">
        <v>45</v>
      </c>
      <c r="G169" t="s">
        <v>70</v>
      </c>
      <c r="H169" t="s">
        <v>15</v>
      </c>
      <c r="I169">
        <v>1</v>
      </c>
      <c r="J169" t="s">
        <v>48</v>
      </c>
    </row>
    <row r="170" spans="1:10" x14ac:dyDescent="0.3">
      <c r="A170" t="s">
        <v>206</v>
      </c>
      <c r="B170">
        <v>47</v>
      </c>
      <c r="C170" t="s">
        <v>11</v>
      </c>
      <c r="D170" t="s">
        <v>12</v>
      </c>
      <c r="E170" s="1">
        <v>46130</v>
      </c>
      <c r="F170" t="s">
        <v>56</v>
      </c>
      <c r="G170" t="s">
        <v>70</v>
      </c>
      <c r="H170" t="s">
        <v>15</v>
      </c>
      <c r="I170">
        <v>9</v>
      </c>
      <c r="J170" t="s">
        <v>16</v>
      </c>
    </row>
    <row r="171" spans="1:10" x14ac:dyDescent="0.3">
      <c r="A171" t="s">
        <v>207</v>
      </c>
      <c r="B171">
        <v>57</v>
      </c>
      <c r="C171" t="s">
        <v>11</v>
      </c>
      <c r="D171" t="s">
        <v>23</v>
      </c>
      <c r="E171" s="1">
        <v>46145</v>
      </c>
      <c r="F171" t="s">
        <v>19</v>
      </c>
      <c r="G171" t="s">
        <v>19</v>
      </c>
      <c r="H171" t="s">
        <v>20</v>
      </c>
      <c r="J171" t="s">
        <v>21</v>
      </c>
    </row>
    <row r="172" spans="1:10" x14ac:dyDescent="0.3">
      <c r="A172" t="s">
        <v>208</v>
      </c>
      <c r="B172">
        <v>30</v>
      </c>
      <c r="C172" t="s">
        <v>11</v>
      </c>
      <c r="D172" t="s">
        <v>23</v>
      </c>
      <c r="E172" s="1">
        <v>46084</v>
      </c>
      <c r="F172" t="s">
        <v>13</v>
      </c>
      <c r="G172" t="s">
        <v>14</v>
      </c>
      <c r="H172" t="s">
        <v>15</v>
      </c>
      <c r="I172">
        <v>10</v>
      </c>
      <c r="J172" t="s">
        <v>42</v>
      </c>
    </row>
    <row r="173" spans="1:10" x14ac:dyDescent="0.3">
      <c r="A173" t="s">
        <v>209</v>
      </c>
      <c r="B173">
        <v>27</v>
      </c>
      <c r="C173" t="s">
        <v>25</v>
      </c>
      <c r="D173" t="s">
        <v>33</v>
      </c>
      <c r="E173" s="1">
        <v>46063</v>
      </c>
      <c r="F173" t="s">
        <v>65</v>
      </c>
      <c r="G173" t="s">
        <v>14</v>
      </c>
      <c r="H173" t="s">
        <v>15</v>
      </c>
      <c r="I173">
        <v>14</v>
      </c>
      <c r="J173" t="s">
        <v>48</v>
      </c>
    </row>
    <row r="174" spans="1:10" x14ac:dyDescent="0.3">
      <c r="A174" t="s">
        <v>210</v>
      </c>
      <c r="B174">
        <v>71</v>
      </c>
      <c r="C174" t="s">
        <v>11</v>
      </c>
      <c r="D174" t="s">
        <v>29</v>
      </c>
      <c r="E174" s="1">
        <v>46086</v>
      </c>
      <c r="F174" t="s">
        <v>19</v>
      </c>
      <c r="G174" t="s">
        <v>19</v>
      </c>
      <c r="H174" t="s">
        <v>20</v>
      </c>
      <c r="J174" t="s">
        <v>21</v>
      </c>
    </row>
    <row r="175" spans="1:10" x14ac:dyDescent="0.3">
      <c r="A175" t="s">
        <v>211</v>
      </c>
      <c r="B175">
        <v>43</v>
      </c>
      <c r="C175" t="s">
        <v>11</v>
      </c>
      <c r="D175" t="s">
        <v>33</v>
      </c>
      <c r="E175" s="1">
        <v>46157</v>
      </c>
      <c r="F175" t="s">
        <v>19</v>
      </c>
      <c r="G175" t="s">
        <v>19</v>
      </c>
      <c r="H175" t="s">
        <v>20</v>
      </c>
      <c r="J175" t="s">
        <v>21</v>
      </c>
    </row>
    <row r="176" spans="1:10" x14ac:dyDescent="0.3">
      <c r="A176" t="s">
        <v>212</v>
      </c>
      <c r="B176">
        <v>47</v>
      </c>
      <c r="C176" t="s">
        <v>25</v>
      </c>
      <c r="D176" t="s">
        <v>39</v>
      </c>
      <c r="E176" s="1">
        <v>46050</v>
      </c>
      <c r="F176" t="s">
        <v>19</v>
      </c>
      <c r="G176" t="s">
        <v>19</v>
      </c>
      <c r="H176" t="s">
        <v>20</v>
      </c>
      <c r="J176" t="s">
        <v>21</v>
      </c>
    </row>
    <row r="177" spans="1:10" x14ac:dyDescent="0.3">
      <c r="A177" t="s">
        <v>213</v>
      </c>
      <c r="B177">
        <v>67</v>
      </c>
      <c r="C177" t="s">
        <v>25</v>
      </c>
      <c r="D177" t="s">
        <v>39</v>
      </c>
      <c r="E177" s="1">
        <v>46102</v>
      </c>
      <c r="F177" t="s">
        <v>41</v>
      </c>
      <c r="G177" t="s">
        <v>14</v>
      </c>
      <c r="H177" t="s">
        <v>15</v>
      </c>
      <c r="I177">
        <v>2</v>
      </c>
      <c r="J177" t="s">
        <v>16</v>
      </c>
    </row>
    <row r="178" spans="1:10" x14ac:dyDescent="0.3">
      <c r="A178" t="s">
        <v>214</v>
      </c>
      <c r="B178">
        <v>24</v>
      </c>
      <c r="C178" t="s">
        <v>25</v>
      </c>
      <c r="D178" t="s">
        <v>23</v>
      </c>
      <c r="E178" s="1">
        <v>46083</v>
      </c>
      <c r="F178" t="s">
        <v>19</v>
      </c>
      <c r="G178" t="s">
        <v>19</v>
      </c>
      <c r="H178" t="s">
        <v>20</v>
      </c>
      <c r="J178" t="s">
        <v>21</v>
      </c>
    </row>
    <row r="179" spans="1:10" x14ac:dyDescent="0.3">
      <c r="A179" t="s">
        <v>215</v>
      </c>
      <c r="B179">
        <v>56</v>
      </c>
      <c r="C179" t="s">
        <v>25</v>
      </c>
      <c r="D179" t="s">
        <v>27</v>
      </c>
      <c r="E179" s="1">
        <v>46172</v>
      </c>
      <c r="F179" t="s">
        <v>41</v>
      </c>
      <c r="G179" t="s">
        <v>37</v>
      </c>
      <c r="H179" t="s">
        <v>15</v>
      </c>
      <c r="I179">
        <v>2</v>
      </c>
      <c r="J179" t="s">
        <v>42</v>
      </c>
    </row>
    <row r="180" spans="1:10" x14ac:dyDescent="0.3">
      <c r="A180" t="s">
        <v>216</v>
      </c>
      <c r="B180">
        <v>26</v>
      </c>
      <c r="C180" t="s">
        <v>11</v>
      </c>
      <c r="D180" t="s">
        <v>23</v>
      </c>
      <c r="E180" s="1">
        <v>46044</v>
      </c>
      <c r="F180" t="s">
        <v>19</v>
      </c>
      <c r="G180" t="s">
        <v>19</v>
      </c>
      <c r="H180" t="s">
        <v>20</v>
      </c>
      <c r="J180" t="s">
        <v>21</v>
      </c>
    </row>
    <row r="181" spans="1:10" x14ac:dyDescent="0.3">
      <c r="A181" t="s">
        <v>217</v>
      </c>
      <c r="B181">
        <v>26</v>
      </c>
      <c r="C181" t="s">
        <v>11</v>
      </c>
      <c r="D181" t="s">
        <v>33</v>
      </c>
      <c r="E181" s="1">
        <v>46066</v>
      </c>
      <c r="F181" t="s">
        <v>19</v>
      </c>
      <c r="G181" t="s">
        <v>19</v>
      </c>
      <c r="H181" t="s">
        <v>20</v>
      </c>
      <c r="J181" t="s">
        <v>21</v>
      </c>
    </row>
    <row r="182" spans="1:10" x14ac:dyDescent="0.3">
      <c r="A182" t="s">
        <v>218</v>
      </c>
      <c r="B182">
        <v>23</v>
      </c>
      <c r="C182" t="s">
        <v>25</v>
      </c>
      <c r="D182" t="s">
        <v>29</v>
      </c>
      <c r="E182" s="1">
        <v>46149</v>
      </c>
      <c r="F182" t="s">
        <v>65</v>
      </c>
      <c r="G182" t="s">
        <v>14</v>
      </c>
      <c r="H182" t="s">
        <v>15</v>
      </c>
      <c r="I182">
        <v>3</v>
      </c>
      <c r="J182" t="s">
        <v>48</v>
      </c>
    </row>
    <row r="183" spans="1:10" x14ac:dyDescent="0.3">
      <c r="A183" t="s">
        <v>219</v>
      </c>
      <c r="B183">
        <v>48</v>
      </c>
      <c r="C183" t="s">
        <v>11</v>
      </c>
      <c r="D183" t="s">
        <v>23</v>
      </c>
      <c r="E183" s="1">
        <v>46031</v>
      </c>
      <c r="F183" t="s">
        <v>19</v>
      </c>
      <c r="G183" t="s">
        <v>19</v>
      </c>
      <c r="H183" t="s">
        <v>20</v>
      </c>
      <c r="J183" t="s">
        <v>21</v>
      </c>
    </row>
    <row r="184" spans="1:10" x14ac:dyDescent="0.3">
      <c r="A184" t="s">
        <v>220</v>
      </c>
      <c r="B184">
        <v>52</v>
      </c>
      <c r="C184" t="s">
        <v>11</v>
      </c>
      <c r="D184" t="s">
        <v>33</v>
      </c>
      <c r="E184" s="1">
        <v>46097</v>
      </c>
      <c r="F184" t="s">
        <v>52</v>
      </c>
      <c r="G184" t="s">
        <v>37</v>
      </c>
      <c r="H184" t="s">
        <v>15</v>
      </c>
      <c r="I184">
        <v>1</v>
      </c>
      <c r="J184" t="s">
        <v>42</v>
      </c>
    </row>
    <row r="185" spans="1:10" x14ac:dyDescent="0.3">
      <c r="A185" t="s">
        <v>221</v>
      </c>
      <c r="B185">
        <v>33</v>
      </c>
      <c r="C185" t="s">
        <v>11</v>
      </c>
      <c r="D185" t="s">
        <v>35</v>
      </c>
      <c r="E185" s="1">
        <v>46186</v>
      </c>
      <c r="F185" t="s">
        <v>45</v>
      </c>
      <c r="G185" t="s">
        <v>37</v>
      </c>
      <c r="H185" t="s">
        <v>15</v>
      </c>
      <c r="I185">
        <v>13</v>
      </c>
      <c r="J185" t="s">
        <v>48</v>
      </c>
    </row>
    <row r="186" spans="1:10" x14ac:dyDescent="0.3">
      <c r="A186" t="s">
        <v>222</v>
      </c>
      <c r="B186">
        <v>29</v>
      </c>
      <c r="C186" t="s">
        <v>11</v>
      </c>
      <c r="D186" t="s">
        <v>39</v>
      </c>
      <c r="E186" s="1">
        <v>46073</v>
      </c>
      <c r="F186" t="s">
        <v>36</v>
      </c>
      <c r="G186" t="s">
        <v>14</v>
      </c>
      <c r="H186" t="s">
        <v>15</v>
      </c>
      <c r="I186">
        <v>2</v>
      </c>
      <c r="J186" t="s">
        <v>48</v>
      </c>
    </row>
    <row r="187" spans="1:10" x14ac:dyDescent="0.3">
      <c r="A187" t="s">
        <v>223</v>
      </c>
      <c r="B187">
        <v>49</v>
      </c>
      <c r="C187" t="s">
        <v>25</v>
      </c>
      <c r="D187" t="s">
        <v>33</v>
      </c>
      <c r="E187" s="1">
        <v>46095</v>
      </c>
      <c r="F187" t="s">
        <v>41</v>
      </c>
      <c r="G187" t="s">
        <v>37</v>
      </c>
      <c r="H187" t="s">
        <v>15</v>
      </c>
      <c r="I187">
        <v>6</v>
      </c>
      <c r="J187" t="s">
        <v>42</v>
      </c>
    </row>
    <row r="188" spans="1:10" x14ac:dyDescent="0.3">
      <c r="A188" t="s">
        <v>224</v>
      </c>
      <c r="B188">
        <v>22</v>
      </c>
      <c r="C188" t="s">
        <v>11</v>
      </c>
      <c r="D188" t="s">
        <v>18</v>
      </c>
      <c r="E188" s="1">
        <v>46163</v>
      </c>
      <c r="F188" t="s">
        <v>19</v>
      </c>
      <c r="G188" t="s">
        <v>19</v>
      </c>
      <c r="H188" t="s">
        <v>20</v>
      </c>
      <c r="J188" t="s">
        <v>21</v>
      </c>
    </row>
    <row r="189" spans="1:10" x14ac:dyDescent="0.3">
      <c r="A189" t="s">
        <v>225</v>
      </c>
      <c r="B189">
        <v>50</v>
      </c>
      <c r="C189" t="s">
        <v>11</v>
      </c>
      <c r="D189" t="s">
        <v>29</v>
      </c>
      <c r="E189" s="1">
        <v>46098</v>
      </c>
      <c r="F189" t="s">
        <v>19</v>
      </c>
      <c r="G189" t="s">
        <v>19</v>
      </c>
      <c r="H189" t="s">
        <v>20</v>
      </c>
      <c r="J189" t="s">
        <v>21</v>
      </c>
    </row>
    <row r="190" spans="1:10" x14ac:dyDescent="0.3">
      <c r="A190" t="s">
        <v>226</v>
      </c>
      <c r="B190">
        <v>31</v>
      </c>
      <c r="C190" t="s">
        <v>11</v>
      </c>
      <c r="D190" t="s">
        <v>35</v>
      </c>
      <c r="E190" s="1">
        <v>46075</v>
      </c>
      <c r="F190" t="s">
        <v>65</v>
      </c>
      <c r="G190" t="s">
        <v>14</v>
      </c>
      <c r="H190" t="s">
        <v>15</v>
      </c>
      <c r="I190">
        <v>9</v>
      </c>
      <c r="J190" t="s">
        <v>48</v>
      </c>
    </row>
    <row r="191" spans="1:10" x14ac:dyDescent="0.3">
      <c r="A191" t="s">
        <v>227</v>
      </c>
      <c r="B191">
        <v>28</v>
      </c>
      <c r="C191" t="s">
        <v>11</v>
      </c>
      <c r="D191" t="s">
        <v>35</v>
      </c>
      <c r="E191" s="1">
        <v>46094</v>
      </c>
      <c r="F191" t="s">
        <v>13</v>
      </c>
      <c r="G191" t="s">
        <v>37</v>
      </c>
      <c r="H191" t="s">
        <v>15</v>
      </c>
      <c r="I191">
        <v>3</v>
      </c>
      <c r="J191" t="s">
        <v>42</v>
      </c>
    </row>
    <row r="192" spans="1:10" x14ac:dyDescent="0.3">
      <c r="A192" t="s">
        <v>228</v>
      </c>
      <c r="B192">
        <v>66</v>
      </c>
      <c r="C192" t="s">
        <v>11</v>
      </c>
      <c r="D192" t="s">
        <v>35</v>
      </c>
      <c r="E192" s="1">
        <v>46082</v>
      </c>
      <c r="F192" t="s">
        <v>19</v>
      </c>
      <c r="G192" t="s">
        <v>19</v>
      </c>
      <c r="H192" t="s">
        <v>20</v>
      </c>
      <c r="J192" t="s">
        <v>21</v>
      </c>
    </row>
    <row r="193" spans="1:10" x14ac:dyDescent="0.3">
      <c r="A193" t="s">
        <v>229</v>
      </c>
      <c r="B193">
        <v>71</v>
      </c>
      <c r="C193" t="s">
        <v>25</v>
      </c>
      <c r="D193" t="s">
        <v>23</v>
      </c>
      <c r="E193" s="1">
        <v>46058</v>
      </c>
      <c r="F193" t="s">
        <v>19</v>
      </c>
      <c r="G193" t="s">
        <v>19</v>
      </c>
      <c r="H193" t="s">
        <v>20</v>
      </c>
      <c r="J193" t="s">
        <v>21</v>
      </c>
    </row>
    <row r="194" spans="1:10" x14ac:dyDescent="0.3">
      <c r="A194" t="s">
        <v>230</v>
      </c>
      <c r="B194">
        <v>78</v>
      </c>
      <c r="C194" t="s">
        <v>11</v>
      </c>
      <c r="D194" t="s">
        <v>27</v>
      </c>
      <c r="E194" s="1">
        <v>46181</v>
      </c>
      <c r="F194" t="s">
        <v>41</v>
      </c>
      <c r="G194" t="s">
        <v>37</v>
      </c>
      <c r="H194" t="s">
        <v>15</v>
      </c>
      <c r="I194">
        <v>1</v>
      </c>
      <c r="J194" t="s">
        <v>42</v>
      </c>
    </row>
    <row r="195" spans="1:10" x14ac:dyDescent="0.3">
      <c r="A195" t="s">
        <v>231</v>
      </c>
      <c r="B195">
        <v>67</v>
      </c>
      <c r="C195" t="s">
        <v>11</v>
      </c>
      <c r="D195" t="s">
        <v>12</v>
      </c>
      <c r="E195" s="1">
        <v>46106</v>
      </c>
      <c r="F195" t="s">
        <v>19</v>
      </c>
      <c r="G195" t="s">
        <v>19</v>
      </c>
      <c r="H195" t="s">
        <v>20</v>
      </c>
      <c r="J195" t="s">
        <v>21</v>
      </c>
    </row>
    <row r="196" spans="1:10" x14ac:dyDescent="0.3">
      <c r="A196" t="s">
        <v>232</v>
      </c>
      <c r="B196">
        <v>37</v>
      </c>
      <c r="C196" t="s">
        <v>25</v>
      </c>
      <c r="D196" t="s">
        <v>12</v>
      </c>
      <c r="E196" s="1">
        <v>46143</v>
      </c>
      <c r="F196" t="s">
        <v>45</v>
      </c>
      <c r="G196" t="s">
        <v>37</v>
      </c>
      <c r="H196" t="s">
        <v>15</v>
      </c>
      <c r="I196">
        <v>1</v>
      </c>
      <c r="J196" t="s">
        <v>16</v>
      </c>
    </row>
    <row r="197" spans="1:10" x14ac:dyDescent="0.3">
      <c r="A197" t="s">
        <v>233</v>
      </c>
      <c r="B197">
        <v>48</v>
      </c>
      <c r="C197" t="s">
        <v>11</v>
      </c>
      <c r="D197" t="s">
        <v>27</v>
      </c>
      <c r="E197" s="1">
        <v>46043</v>
      </c>
      <c r="F197" t="s">
        <v>41</v>
      </c>
      <c r="G197" t="s">
        <v>37</v>
      </c>
      <c r="H197" t="s">
        <v>15</v>
      </c>
      <c r="I197">
        <v>14</v>
      </c>
      <c r="J197" t="s">
        <v>16</v>
      </c>
    </row>
    <row r="198" spans="1:10" x14ac:dyDescent="0.3">
      <c r="A198" t="s">
        <v>234</v>
      </c>
      <c r="B198">
        <v>75</v>
      </c>
      <c r="C198" t="s">
        <v>11</v>
      </c>
      <c r="D198" t="s">
        <v>29</v>
      </c>
      <c r="E198" s="1">
        <v>46174</v>
      </c>
      <c r="F198" t="s">
        <v>19</v>
      </c>
      <c r="G198" t="s">
        <v>19</v>
      </c>
      <c r="H198" t="s">
        <v>20</v>
      </c>
      <c r="J198" t="s">
        <v>21</v>
      </c>
    </row>
    <row r="199" spans="1:10" x14ac:dyDescent="0.3">
      <c r="A199" t="s">
        <v>235</v>
      </c>
      <c r="B199">
        <v>30</v>
      </c>
      <c r="C199" t="s">
        <v>11</v>
      </c>
      <c r="D199" t="s">
        <v>39</v>
      </c>
      <c r="E199" s="1">
        <v>46109</v>
      </c>
      <c r="F199" t="s">
        <v>65</v>
      </c>
      <c r="G199" t="s">
        <v>14</v>
      </c>
      <c r="H199" t="s">
        <v>15</v>
      </c>
      <c r="I199">
        <v>10</v>
      </c>
      <c r="J199" t="s">
        <v>16</v>
      </c>
    </row>
    <row r="200" spans="1:10" x14ac:dyDescent="0.3">
      <c r="A200" t="s">
        <v>236</v>
      </c>
      <c r="B200">
        <v>25</v>
      </c>
      <c r="C200" t="s">
        <v>11</v>
      </c>
      <c r="D200" t="s">
        <v>27</v>
      </c>
      <c r="E200" s="1">
        <v>46147</v>
      </c>
      <c r="F200" t="s">
        <v>19</v>
      </c>
      <c r="G200" t="s">
        <v>19</v>
      </c>
      <c r="H200" t="s">
        <v>20</v>
      </c>
      <c r="J200" t="s">
        <v>21</v>
      </c>
    </row>
    <row r="201" spans="1:10" x14ac:dyDescent="0.3">
      <c r="A201" t="s">
        <v>237</v>
      </c>
      <c r="B201">
        <v>20</v>
      </c>
      <c r="C201" t="s">
        <v>25</v>
      </c>
      <c r="D201" t="s">
        <v>18</v>
      </c>
      <c r="E201" s="1">
        <v>46156</v>
      </c>
      <c r="F201" t="s">
        <v>56</v>
      </c>
      <c r="G201" t="s">
        <v>37</v>
      </c>
      <c r="H201" t="s">
        <v>15</v>
      </c>
      <c r="I201">
        <v>14</v>
      </c>
      <c r="J201" t="s">
        <v>42</v>
      </c>
    </row>
    <row r="202" spans="1:10" x14ac:dyDescent="0.3">
      <c r="A202" t="s">
        <v>238</v>
      </c>
      <c r="B202">
        <v>68</v>
      </c>
      <c r="C202" t="s">
        <v>11</v>
      </c>
      <c r="D202" t="s">
        <v>39</v>
      </c>
      <c r="E202" s="1">
        <v>46075</v>
      </c>
      <c r="F202" t="s">
        <v>13</v>
      </c>
      <c r="G202" t="s">
        <v>37</v>
      </c>
      <c r="H202" t="s">
        <v>15</v>
      </c>
      <c r="I202">
        <v>7</v>
      </c>
      <c r="J202" t="s">
        <v>42</v>
      </c>
    </row>
    <row r="203" spans="1:10" x14ac:dyDescent="0.3">
      <c r="A203" t="s">
        <v>239</v>
      </c>
      <c r="B203">
        <v>59</v>
      </c>
      <c r="C203" t="s">
        <v>11</v>
      </c>
      <c r="D203" t="s">
        <v>18</v>
      </c>
      <c r="E203" s="1">
        <v>46124</v>
      </c>
      <c r="F203" t="s">
        <v>19</v>
      </c>
      <c r="G203" t="s">
        <v>19</v>
      </c>
      <c r="H203" t="s">
        <v>20</v>
      </c>
      <c r="J203" t="s">
        <v>21</v>
      </c>
    </row>
    <row r="204" spans="1:10" x14ac:dyDescent="0.3">
      <c r="A204" t="s">
        <v>240</v>
      </c>
      <c r="B204">
        <v>24</v>
      </c>
      <c r="C204" t="s">
        <v>11</v>
      </c>
      <c r="D204" t="s">
        <v>12</v>
      </c>
      <c r="E204" s="1">
        <v>46199</v>
      </c>
      <c r="F204" t="s">
        <v>56</v>
      </c>
      <c r="G204" t="s">
        <v>37</v>
      </c>
      <c r="H204" t="s">
        <v>15</v>
      </c>
      <c r="I204">
        <v>10</v>
      </c>
      <c r="J204" t="s">
        <v>48</v>
      </c>
    </row>
    <row r="205" spans="1:10" x14ac:dyDescent="0.3">
      <c r="A205" t="s">
        <v>241</v>
      </c>
      <c r="B205">
        <v>47</v>
      </c>
      <c r="C205" t="s">
        <v>25</v>
      </c>
      <c r="D205" t="s">
        <v>29</v>
      </c>
      <c r="E205" s="1">
        <v>46042</v>
      </c>
      <c r="F205" t="s">
        <v>41</v>
      </c>
      <c r="G205" t="s">
        <v>14</v>
      </c>
      <c r="H205" t="s">
        <v>15</v>
      </c>
      <c r="I205">
        <v>1</v>
      </c>
      <c r="J205" t="s">
        <v>16</v>
      </c>
    </row>
    <row r="206" spans="1:10" x14ac:dyDescent="0.3">
      <c r="A206" t="s">
        <v>242</v>
      </c>
      <c r="B206">
        <v>75</v>
      </c>
      <c r="C206" t="s">
        <v>25</v>
      </c>
      <c r="D206" t="s">
        <v>23</v>
      </c>
      <c r="E206" s="1">
        <v>46198</v>
      </c>
      <c r="F206" t="s">
        <v>19</v>
      </c>
      <c r="G206" t="s">
        <v>19</v>
      </c>
      <c r="H206" t="s">
        <v>20</v>
      </c>
      <c r="J206" t="s">
        <v>21</v>
      </c>
    </row>
    <row r="207" spans="1:10" x14ac:dyDescent="0.3">
      <c r="A207" t="s">
        <v>243</v>
      </c>
      <c r="B207">
        <v>74</v>
      </c>
      <c r="C207" t="s">
        <v>25</v>
      </c>
      <c r="D207" t="s">
        <v>12</v>
      </c>
      <c r="E207" s="1">
        <v>46027</v>
      </c>
      <c r="F207" t="s">
        <v>65</v>
      </c>
      <c r="G207" t="s">
        <v>14</v>
      </c>
      <c r="H207" t="s">
        <v>15</v>
      </c>
      <c r="I207">
        <v>13</v>
      </c>
      <c r="J207" t="s">
        <v>42</v>
      </c>
    </row>
    <row r="208" spans="1:10" x14ac:dyDescent="0.3">
      <c r="A208" t="s">
        <v>244</v>
      </c>
      <c r="B208">
        <v>18</v>
      </c>
      <c r="C208" t="s">
        <v>11</v>
      </c>
      <c r="D208" t="s">
        <v>12</v>
      </c>
      <c r="E208" s="1">
        <v>46081</v>
      </c>
      <c r="F208" t="s">
        <v>19</v>
      </c>
      <c r="G208" t="s">
        <v>19</v>
      </c>
      <c r="H208" t="s">
        <v>20</v>
      </c>
      <c r="J208" t="s">
        <v>21</v>
      </c>
    </row>
    <row r="209" spans="1:10" x14ac:dyDescent="0.3">
      <c r="A209" t="s">
        <v>245</v>
      </c>
      <c r="B209">
        <v>21</v>
      </c>
      <c r="C209" t="s">
        <v>25</v>
      </c>
      <c r="D209" t="s">
        <v>18</v>
      </c>
      <c r="E209" s="1">
        <v>46190</v>
      </c>
      <c r="F209" t="s">
        <v>19</v>
      </c>
      <c r="G209" t="s">
        <v>19</v>
      </c>
      <c r="H209" t="s">
        <v>20</v>
      </c>
      <c r="J209" t="s">
        <v>21</v>
      </c>
    </row>
    <row r="210" spans="1:10" x14ac:dyDescent="0.3">
      <c r="A210" t="s">
        <v>246</v>
      </c>
      <c r="B210">
        <v>31</v>
      </c>
      <c r="C210" t="s">
        <v>25</v>
      </c>
      <c r="D210" t="s">
        <v>29</v>
      </c>
      <c r="E210" s="1">
        <v>46179</v>
      </c>
      <c r="F210" t="s">
        <v>19</v>
      </c>
      <c r="G210" t="s">
        <v>19</v>
      </c>
      <c r="H210" t="s">
        <v>20</v>
      </c>
      <c r="J210" t="s">
        <v>21</v>
      </c>
    </row>
    <row r="211" spans="1:10" x14ac:dyDescent="0.3">
      <c r="A211" t="s">
        <v>247</v>
      </c>
      <c r="B211">
        <v>56</v>
      </c>
      <c r="C211" t="s">
        <v>11</v>
      </c>
      <c r="D211" t="s">
        <v>23</v>
      </c>
      <c r="E211" s="1">
        <v>46136</v>
      </c>
      <c r="F211" t="s">
        <v>19</v>
      </c>
      <c r="G211" t="s">
        <v>19</v>
      </c>
      <c r="H211" t="s">
        <v>20</v>
      </c>
      <c r="J211" t="s">
        <v>21</v>
      </c>
    </row>
    <row r="212" spans="1:10" x14ac:dyDescent="0.3">
      <c r="A212" t="s">
        <v>248</v>
      </c>
      <c r="B212">
        <v>30</v>
      </c>
      <c r="C212" t="s">
        <v>25</v>
      </c>
      <c r="D212" t="s">
        <v>35</v>
      </c>
      <c r="E212" s="1">
        <v>46134</v>
      </c>
      <c r="F212" t="s">
        <v>45</v>
      </c>
      <c r="G212" t="s">
        <v>14</v>
      </c>
      <c r="H212" t="s">
        <v>15</v>
      </c>
      <c r="I212">
        <v>9</v>
      </c>
      <c r="J212" t="s">
        <v>42</v>
      </c>
    </row>
    <row r="213" spans="1:10" x14ac:dyDescent="0.3">
      <c r="A213" t="s">
        <v>249</v>
      </c>
      <c r="B213">
        <v>30</v>
      </c>
      <c r="C213" t="s">
        <v>25</v>
      </c>
      <c r="D213" t="s">
        <v>35</v>
      </c>
      <c r="E213" s="1">
        <v>46138</v>
      </c>
      <c r="F213" t="s">
        <v>19</v>
      </c>
      <c r="G213" t="s">
        <v>19</v>
      </c>
      <c r="H213" t="s">
        <v>20</v>
      </c>
      <c r="J213" t="s">
        <v>21</v>
      </c>
    </row>
    <row r="214" spans="1:10" x14ac:dyDescent="0.3">
      <c r="A214" t="s">
        <v>250</v>
      </c>
      <c r="B214">
        <v>33</v>
      </c>
      <c r="C214" t="s">
        <v>25</v>
      </c>
      <c r="D214" t="s">
        <v>27</v>
      </c>
      <c r="E214" s="1">
        <v>46081</v>
      </c>
      <c r="F214" t="s">
        <v>65</v>
      </c>
      <c r="G214" t="s">
        <v>14</v>
      </c>
      <c r="H214" t="s">
        <v>15</v>
      </c>
      <c r="I214">
        <v>8</v>
      </c>
      <c r="J214" t="s">
        <v>16</v>
      </c>
    </row>
    <row r="215" spans="1:10" x14ac:dyDescent="0.3">
      <c r="A215" t="s">
        <v>251</v>
      </c>
      <c r="B215">
        <v>69</v>
      </c>
      <c r="C215" t="s">
        <v>11</v>
      </c>
      <c r="D215" t="s">
        <v>18</v>
      </c>
      <c r="E215" s="1">
        <v>46196</v>
      </c>
      <c r="F215" t="s">
        <v>41</v>
      </c>
      <c r="G215" t="s">
        <v>37</v>
      </c>
      <c r="H215" t="s">
        <v>15</v>
      </c>
      <c r="I215">
        <v>12</v>
      </c>
      <c r="J215" t="s">
        <v>42</v>
      </c>
    </row>
    <row r="216" spans="1:10" x14ac:dyDescent="0.3">
      <c r="A216" t="s">
        <v>252</v>
      </c>
      <c r="B216">
        <v>28</v>
      </c>
      <c r="C216" t="s">
        <v>11</v>
      </c>
      <c r="D216" t="s">
        <v>39</v>
      </c>
      <c r="E216" s="1">
        <v>46084</v>
      </c>
      <c r="F216" t="s">
        <v>13</v>
      </c>
      <c r="G216" t="s">
        <v>37</v>
      </c>
      <c r="H216" t="s">
        <v>15</v>
      </c>
      <c r="I216">
        <v>6</v>
      </c>
      <c r="J216" t="s">
        <v>42</v>
      </c>
    </row>
    <row r="217" spans="1:10" x14ac:dyDescent="0.3">
      <c r="A217" t="s">
        <v>253</v>
      </c>
      <c r="B217">
        <v>34</v>
      </c>
      <c r="C217" t="s">
        <v>25</v>
      </c>
      <c r="D217" t="s">
        <v>27</v>
      </c>
      <c r="E217" s="1">
        <v>46184</v>
      </c>
      <c r="F217" t="s">
        <v>52</v>
      </c>
      <c r="G217" t="s">
        <v>37</v>
      </c>
      <c r="H217" t="s">
        <v>15</v>
      </c>
      <c r="I217">
        <v>12</v>
      </c>
      <c r="J217" t="s">
        <v>48</v>
      </c>
    </row>
    <row r="218" spans="1:10" x14ac:dyDescent="0.3">
      <c r="A218" t="s">
        <v>254</v>
      </c>
      <c r="B218">
        <v>20</v>
      </c>
      <c r="C218" t="s">
        <v>11</v>
      </c>
      <c r="D218" t="s">
        <v>35</v>
      </c>
      <c r="E218" s="1">
        <v>46049</v>
      </c>
      <c r="F218" t="s">
        <v>41</v>
      </c>
      <c r="G218" t="s">
        <v>37</v>
      </c>
      <c r="H218" t="s">
        <v>15</v>
      </c>
      <c r="I218">
        <v>12</v>
      </c>
      <c r="J218" t="s">
        <v>48</v>
      </c>
    </row>
    <row r="219" spans="1:10" x14ac:dyDescent="0.3">
      <c r="A219" t="s">
        <v>255</v>
      </c>
      <c r="B219">
        <v>59</v>
      </c>
      <c r="C219" t="s">
        <v>25</v>
      </c>
      <c r="D219" t="s">
        <v>39</v>
      </c>
      <c r="E219" s="1">
        <v>46070</v>
      </c>
      <c r="F219" t="s">
        <v>19</v>
      </c>
      <c r="G219" t="s">
        <v>19</v>
      </c>
      <c r="H219" t="s">
        <v>20</v>
      </c>
      <c r="J219" t="s">
        <v>21</v>
      </c>
    </row>
    <row r="220" spans="1:10" x14ac:dyDescent="0.3">
      <c r="A220" t="s">
        <v>256</v>
      </c>
      <c r="B220">
        <v>65</v>
      </c>
      <c r="C220" t="s">
        <v>11</v>
      </c>
      <c r="D220" t="s">
        <v>18</v>
      </c>
      <c r="E220" s="1">
        <v>46176</v>
      </c>
      <c r="F220" t="s">
        <v>19</v>
      </c>
      <c r="G220" t="s">
        <v>19</v>
      </c>
      <c r="H220" t="s">
        <v>20</v>
      </c>
      <c r="J220" t="s">
        <v>21</v>
      </c>
    </row>
    <row r="221" spans="1:10" x14ac:dyDescent="0.3">
      <c r="A221" t="s">
        <v>257</v>
      </c>
      <c r="B221">
        <v>47</v>
      </c>
      <c r="C221" t="s">
        <v>11</v>
      </c>
      <c r="D221" t="s">
        <v>29</v>
      </c>
      <c r="E221" s="1">
        <v>46154</v>
      </c>
      <c r="F221" t="s">
        <v>36</v>
      </c>
      <c r="G221" t="s">
        <v>70</v>
      </c>
      <c r="H221" t="s">
        <v>15</v>
      </c>
      <c r="I221">
        <v>10</v>
      </c>
      <c r="J221" t="s">
        <v>42</v>
      </c>
    </row>
    <row r="222" spans="1:10" x14ac:dyDescent="0.3">
      <c r="A222" t="s">
        <v>258</v>
      </c>
      <c r="B222">
        <v>57</v>
      </c>
      <c r="C222" t="s">
        <v>25</v>
      </c>
      <c r="D222" t="s">
        <v>39</v>
      </c>
      <c r="E222" s="1">
        <v>46180</v>
      </c>
      <c r="F222" t="s">
        <v>19</v>
      </c>
      <c r="G222" t="s">
        <v>19</v>
      </c>
      <c r="H222" t="s">
        <v>20</v>
      </c>
      <c r="J222" t="s">
        <v>21</v>
      </c>
    </row>
    <row r="223" spans="1:10" x14ac:dyDescent="0.3">
      <c r="A223" t="s">
        <v>259</v>
      </c>
      <c r="B223">
        <v>65</v>
      </c>
      <c r="C223" t="s">
        <v>25</v>
      </c>
      <c r="D223" t="s">
        <v>12</v>
      </c>
      <c r="E223" s="1">
        <v>46047</v>
      </c>
      <c r="F223" t="s">
        <v>52</v>
      </c>
      <c r="G223" t="s">
        <v>37</v>
      </c>
      <c r="H223" t="s">
        <v>15</v>
      </c>
      <c r="I223">
        <v>2</v>
      </c>
      <c r="J223" t="s">
        <v>42</v>
      </c>
    </row>
    <row r="224" spans="1:10" x14ac:dyDescent="0.3">
      <c r="A224" t="s">
        <v>260</v>
      </c>
      <c r="B224">
        <v>32</v>
      </c>
      <c r="C224" t="s">
        <v>25</v>
      </c>
      <c r="D224" t="s">
        <v>29</v>
      </c>
      <c r="E224" s="1">
        <v>46156</v>
      </c>
      <c r="F224" t="s">
        <v>19</v>
      </c>
      <c r="G224" t="s">
        <v>19</v>
      </c>
      <c r="H224" t="s">
        <v>20</v>
      </c>
      <c r="J224" t="s">
        <v>21</v>
      </c>
    </row>
    <row r="225" spans="1:10" x14ac:dyDescent="0.3">
      <c r="A225" t="s">
        <v>261</v>
      </c>
      <c r="B225">
        <v>55</v>
      </c>
      <c r="C225" t="s">
        <v>25</v>
      </c>
      <c r="D225" t="s">
        <v>35</v>
      </c>
      <c r="E225" s="1">
        <v>46036</v>
      </c>
      <c r="F225" t="s">
        <v>56</v>
      </c>
      <c r="G225" t="s">
        <v>37</v>
      </c>
      <c r="H225" t="s">
        <v>15</v>
      </c>
      <c r="I225">
        <v>1</v>
      </c>
      <c r="J225" t="s">
        <v>48</v>
      </c>
    </row>
    <row r="226" spans="1:10" x14ac:dyDescent="0.3">
      <c r="A226" t="s">
        <v>262</v>
      </c>
      <c r="B226">
        <v>73</v>
      </c>
      <c r="C226" t="s">
        <v>11</v>
      </c>
      <c r="D226" t="s">
        <v>35</v>
      </c>
      <c r="E226" s="1">
        <v>46088</v>
      </c>
      <c r="F226" t="s">
        <v>19</v>
      </c>
      <c r="G226" t="s">
        <v>19</v>
      </c>
      <c r="H226" t="s">
        <v>20</v>
      </c>
      <c r="J226" t="s">
        <v>21</v>
      </c>
    </row>
    <row r="227" spans="1:10" x14ac:dyDescent="0.3">
      <c r="A227" t="s">
        <v>263</v>
      </c>
      <c r="B227">
        <v>18</v>
      </c>
      <c r="C227" t="s">
        <v>11</v>
      </c>
      <c r="D227" t="s">
        <v>27</v>
      </c>
      <c r="E227" s="1">
        <v>46174</v>
      </c>
      <c r="F227" t="s">
        <v>45</v>
      </c>
      <c r="G227" t="s">
        <v>37</v>
      </c>
      <c r="H227" t="s">
        <v>15</v>
      </c>
      <c r="I227">
        <v>13</v>
      </c>
      <c r="J227" t="s">
        <v>42</v>
      </c>
    </row>
    <row r="228" spans="1:10" x14ac:dyDescent="0.3">
      <c r="A228" t="s">
        <v>264</v>
      </c>
      <c r="B228">
        <v>63</v>
      </c>
      <c r="C228" t="s">
        <v>11</v>
      </c>
      <c r="D228" t="s">
        <v>18</v>
      </c>
      <c r="E228" s="1">
        <v>46132</v>
      </c>
      <c r="F228" t="s">
        <v>65</v>
      </c>
      <c r="G228" t="s">
        <v>37</v>
      </c>
      <c r="H228" t="s">
        <v>15</v>
      </c>
      <c r="I228">
        <v>2</v>
      </c>
      <c r="J228" t="s">
        <v>42</v>
      </c>
    </row>
    <row r="229" spans="1:10" x14ac:dyDescent="0.3">
      <c r="A229" t="s">
        <v>265</v>
      </c>
      <c r="B229">
        <v>32</v>
      </c>
      <c r="C229" t="s">
        <v>25</v>
      </c>
      <c r="D229" t="s">
        <v>33</v>
      </c>
      <c r="E229" s="1">
        <v>46084</v>
      </c>
      <c r="F229" t="s">
        <v>19</v>
      </c>
      <c r="G229" t="s">
        <v>19</v>
      </c>
      <c r="H229" t="s">
        <v>20</v>
      </c>
      <c r="J229" t="s">
        <v>21</v>
      </c>
    </row>
    <row r="230" spans="1:10" x14ac:dyDescent="0.3">
      <c r="A230" t="s">
        <v>266</v>
      </c>
      <c r="B230">
        <v>28</v>
      </c>
      <c r="C230" t="s">
        <v>11</v>
      </c>
      <c r="D230" t="s">
        <v>29</v>
      </c>
      <c r="E230" s="1">
        <v>46191</v>
      </c>
      <c r="F230" t="s">
        <v>19</v>
      </c>
      <c r="G230" t="s">
        <v>19</v>
      </c>
      <c r="H230" t="s">
        <v>20</v>
      </c>
      <c r="J230" t="s">
        <v>21</v>
      </c>
    </row>
    <row r="231" spans="1:10" x14ac:dyDescent="0.3">
      <c r="A231" t="s">
        <v>267</v>
      </c>
      <c r="B231">
        <v>59</v>
      </c>
      <c r="C231" t="s">
        <v>11</v>
      </c>
      <c r="D231" t="s">
        <v>35</v>
      </c>
      <c r="E231" s="1">
        <v>46094</v>
      </c>
      <c r="F231" t="s">
        <v>19</v>
      </c>
      <c r="G231" t="s">
        <v>19</v>
      </c>
      <c r="H231" t="s">
        <v>20</v>
      </c>
      <c r="J231" t="s">
        <v>21</v>
      </c>
    </row>
    <row r="232" spans="1:10" x14ac:dyDescent="0.3">
      <c r="A232" t="s">
        <v>268</v>
      </c>
      <c r="B232">
        <v>22</v>
      </c>
      <c r="C232" t="s">
        <v>25</v>
      </c>
      <c r="D232" t="s">
        <v>23</v>
      </c>
      <c r="E232" s="1">
        <v>46063</v>
      </c>
      <c r="F232" t="s">
        <v>19</v>
      </c>
      <c r="G232" t="s">
        <v>19</v>
      </c>
      <c r="H232" t="s">
        <v>20</v>
      </c>
      <c r="J232" t="s">
        <v>21</v>
      </c>
    </row>
    <row r="233" spans="1:10" x14ac:dyDescent="0.3">
      <c r="A233" t="s">
        <v>269</v>
      </c>
      <c r="B233">
        <v>53</v>
      </c>
      <c r="C233" t="s">
        <v>25</v>
      </c>
      <c r="D233" t="s">
        <v>33</v>
      </c>
      <c r="E233" s="1">
        <v>46047</v>
      </c>
      <c r="F233" t="s">
        <v>65</v>
      </c>
      <c r="G233" t="s">
        <v>37</v>
      </c>
      <c r="H233" t="s">
        <v>15</v>
      </c>
      <c r="I233">
        <v>7</v>
      </c>
      <c r="J233" t="s">
        <v>48</v>
      </c>
    </row>
    <row r="234" spans="1:10" x14ac:dyDescent="0.3">
      <c r="A234" t="s">
        <v>270</v>
      </c>
      <c r="B234">
        <v>41</v>
      </c>
      <c r="C234" t="s">
        <v>25</v>
      </c>
      <c r="D234" t="s">
        <v>29</v>
      </c>
      <c r="E234" s="1">
        <v>46187</v>
      </c>
      <c r="F234" t="s">
        <v>87</v>
      </c>
      <c r="G234" t="s">
        <v>14</v>
      </c>
      <c r="H234" t="s">
        <v>15</v>
      </c>
      <c r="I234">
        <v>11</v>
      </c>
      <c r="J234" t="s">
        <v>48</v>
      </c>
    </row>
    <row r="235" spans="1:10" x14ac:dyDescent="0.3">
      <c r="A235" t="s">
        <v>271</v>
      </c>
      <c r="B235">
        <v>63</v>
      </c>
      <c r="C235" t="s">
        <v>11</v>
      </c>
      <c r="D235" t="s">
        <v>35</v>
      </c>
      <c r="E235" s="1">
        <v>46202</v>
      </c>
      <c r="F235" t="s">
        <v>19</v>
      </c>
      <c r="G235" t="s">
        <v>19</v>
      </c>
      <c r="H235" t="s">
        <v>20</v>
      </c>
      <c r="J235" t="s">
        <v>21</v>
      </c>
    </row>
    <row r="236" spans="1:10" x14ac:dyDescent="0.3">
      <c r="A236" t="s">
        <v>272</v>
      </c>
      <c r="B236">
        <v>30</v>
      </c>
      <c r="C236" t="s">
        <v>25</v>
      </c>
      <c r="D236" t="s">
        <v>35</v>
      </c>
      <c r="E236" s="1">
        <v>46061</v>
      </c>
      <c r="F236" t="s">
        <v>87</v>
      </c>
      <c r="G236" t="s">
        <v>14</v>
      </c>
      <c r="H236" t="s">
        <v>15</v>
      </c>
      <c r="I236">
        <v>2</v>
      </c>
      <c r="J236" t="s">
        <v>16</v>
      </c>
    </row>
    <row r="237" spans="1:10" x14ac:dyDescent="0.3">
      <c r="A237" t="s">
        <v>273</v>
      </c>
      <c r="B237">
        <v>51</v>
      </c>
      <c r="C237" t="s">
        <v>11</v>
      </c>
      <c r="D237" t="s">
        <v>29</v>
      </c>
      <c r="E237" s="1">
        <v>46192</v>
      </c>
      <c r="F237" t="s">
        <v>45</v>
      </c>
      <c r="G237" t="s">
        <v>14</v>
      </c>
      <c r="H237" t="s">
        <v>15</v>
      </c>
      <c r="I237">
        <v>13</v>
      </c>
      <c r="J237" t="s">
        <v>42</v>
      </c>
    </row>
    <row r="238" spans="1:10" x14ac:dyDescent="0.3">
      <c r="A238" t="s">
        <v>274</v>
      </c>
      <c r="B238">
        <v>80</v>
      </c>
      <c r="C238" t="s">
        <v>25</v>
      </c>
      <c r="D238" t="s">
        <v>23</v>
      </c>
      <c r="E238" s="1">
        <v>46130</v>
      </c>
      <c r="F238" t="s">
        <v>52</v>
      </c>
      <c r="G238" t="s">
        <v>37</v>
      </c>
      <c r="H238" t="s">
        <v>15</v>
      </c>
      <c r="I238">
        <v>7</v>
      </c>
      <c r="J238" t="s">
        <v>48</v>
      </c>
    </row>
    <row r="239" spans="1:10" x14ac:dyDescent="0.3">
      <c r="A239" t="s">
        <v>275</v>
      </c>
      <c r="B239">
        <v>19</v>
      </c>
      <c r="C239" t="s">
        <v>25</v>
      </c>
      <c r="D239" t="s">
        <v>12</v>
      </c>
      <c r="E239" s="1">
        <v>46042</v>
      </c>
      <c r="F239" t="s">
        <v>19</v>
      </c>
      <c r="G239" t="s">
        <v>19</v>
      </c>
      <c r="H239" t="s">
        <v>20</v>
      </c>
      <c r="J239" t="s">
        <v>21</v>
      </c>
    </row>
    <row r="240" spans="1:10" x14ac:dyDescent="0.3">
      <c r="A240" t="s">
        <v>276</v>
      </c>
      <c r="B240">
        <v>68</v>
      </c>
      <c r="C240" t="s">
        <v>25</v>
      </c>
      <c r="D240" t="s">
        <v>33</v>
      </c>
      <c r="E240" s="1">
        <v>46048</v>
      </c>
      <c r="F240" t="s">
        <v>19</v>
      </c>
      <c r="G240" t="s">
        <v>19</v>
      </c>
      <c r="H240" t="s">
        <v>20</v>
      </c>
      <c r="J240" t="s">
        <v>21</v>
      </c>
    </row>
    <row r="241" spans="1:10" x14ac:dyDescent="0.3">
      <c r="A241" t="s">
        <v>277</v>
      </c>
      <c r="B241">
        <v>53</v>
      </c>
      <c r="C241" t="s">
        <v>11</v>
      </c>
      <c r="D241" t="s">
        <v>33</v>
      </c>
      <c r="E241" s="1">
        <v>46080</v>
      </c>
      <c r="F241" t="s">
        <v>19</v>
      </c>
      <c r="G241" t="s">
        <v>19</v>
      </c>
      <c r="H241" t="s">
        <v>20</v>
      </c>
      <c r="J241" t="s">
        <v>21</v>
      </c>
    </row>
    <row r="242" spans="1:10" x14ac:dyDescent="0.3">
      <c r="A242" t="s">
        <v>278</v>
      </c>
      <c r="B242">
        <v>18</v>
      </c>
      <c r="C242" t="s">
        <v>11</v>
      </c>
      <c r="D242" t="s">
        <v>29</v>
      </c>
      <c r="E242" s="1">
        <v>46109</v>
      </c>
      <c r="F242" t="s">
        <v>52</v>
      </c>
      <c r="G242" t="s">
        <v>14</v>
      </c>
      <c r="H242" t="s">
        <v>15</v>
      </c>
      <c r="I242">
        <v>3</v>
      </c>
      <c r="J242" t="s">
        <v>16</v>
      </c>
    </row>
    <row r="243" spans="1:10" x14ac:dyDescent="0.3">
      <c r="A243" t="s">
        <v>279</v>
      </c>
      <c r="B243">
        <v>59</v>
      </c>
      <c r="C243" t="s">
        <v>11</v>
      </c>
      <c r="D243" t="s">
        <v>39</v>
      </c>
      <c r="E243" s="1">
        <v>46087</v>
      </c>
      <c r="F243" t="s">
        <v>19</v>
      </c>
      <c r="G243" t="s">
        <v>19</v>
      </c>
      <c r="H243" t="s">
        <v>20</v>
      </c>
      <c r="J243" t="s">
        <v>21</v>
      </c>
    </row>
    <row r="244" spans="1:10" x14ac:dyDescent="0.3">
      <c r="A244" t="s">
        <v>280</v>
      </c>
      <c r="B244">
        <v>71</v>
      </c>
      <c r="C244" t="s">
        <v>25</v>
      </c>
      <c r="D244" t="s">
        <v>12</v>
      </c>
      <c r="E244" s="1">
        <v>46129</v>
      </c>
      <c r="F244" t="s">
        <v>41</v>
      </c>
      <c r="G244" t="s">
        <v>37</v>
      </c>
      <c r="H244" t="s">
        <v>15</v>
      </c>
      <c r="I244">
        <v>4</v>
      </c>
      <c r="J244" t="s">
        <v>16</v>
      </c>
    </row>
    <row r="245" spans="1:10" x14ac:dyDescent="0.3">
      <c r="A245" t="s">
        <v>281</v>
      </c>
      <c r="B245">
        <v>60</v>
      </c>
      <c r="C245" t="s">
        <v>11</v>
      </c>
      <c r="D245" t="s">
        <v>39</v>
      </c>
      <c r="E245" s="1">
        <v>46182</v>
      </c>
      <c r="F245" t="s">
        <v>56</v>
      </c>
      <c r="G245" t="s">
        <v>70</v>
      </c>
      <c r="H245" t="s">
        <v>15</v>
      </c>
      <c r="I245">
        <v>14</v>
      </c>
      <c r="J245" t="s">
        <v>16</v>
      </c>
    </row>
    <row r="246" spans="1:10" x14ac:dyDescent="0.3">
      <c r="A246" t="s">
        <v>282</v>
      </c>
      <c r="B246">
        <v>72</v>
      </c>
      <c r="C246" t="s">
        <v>11</v>
      </c>
      <c r="D246" t="s">
        <v>27</v>
      </c>
      <c r="E246" s="1">
        <v>46073</v>
      </c>
      <c r="F246" t="s">
        <v>19</v>
      </c>
      <c r="G246" t="s">
        <v>19</v>
      </c>
      <c r="H246" t="s">
        <v>20</v>
      </c>
      <c r="J246" t="s">
        <v>21</v>
      </c>
    </row>
    <row r="247" spans="1:10" x14ac:dyDescent="0.3">
      <c r="A247" t="s">
        <v>283</v>
      </c>
      <c r="B247">
        <v>42</v>
      </c>
      <c r="C247" t="s">
        <v>25</v>
      </c>
      <c r="D247" t="s">
        <v>39</v>
      </c>
      <c r="E247" s="1">
        <v>46158</v>
      </c>
      <c r="F247" t="s">
        <v>19</v>
      </c>
      <c r="G247" t="s">
        <v>19</v>
      </c>
      <c r="H247" t="s">
        <v>20</v>
      </c>
      <c r="J247" t="s">
        <v>21</v>
      </c>
    </row>
    <row r="248" spans="1:10" x14ac:dyDescent="0.3">
      <c r="A248" t="s">
        <v>284</v>
      </c>
      <c r="B248">
        <v>62</v>
      </c>
      <c r="C248" t="s">
        <v>11</v>
      </c>
      <c r="D248" t="s">
        <v>27</v>
      </c>
      <c r="E248" s="1">
        <v>46098</v>
      </c>
      <c r="F248" t="s">
        <v>52</v>
      </c>
      <c r="G248" t="s">
        <v>14</v>
      </c>
      <c r="H248" t="s">
        <v>15</v>
      </c>
      <c r="I248">
        <v>2</v>
      </c>
      <c r="J248" t="s">
        <v>42</v>
      </c>
    </row>
    <row r="249" spans="1:10" x14ac:dyDescent="0.3">
      <c r="A249" t="s">
        <v>285</v>
      </c>
      <c r="B249">
        <v>75</v>
      </c>
      <c r="C249" t="s">
        <v>11</v>
      </c>
      <c r="D249" t="s">
        <v>18</v>
      </c>
      <c r="E249" s="1">
        <v>46195</v>
      </c>
      <c r="F249" t="s">
        <v>19</v>
      </c>
      <c r="G249" t="s">
        <v>19</v>
      </c>
      <c r="H249" t="s">
        <v>20</v>
      </c>
      <c r="J249" t="s">
        <v>21</v>
      </c>
    </row>
    <row r="250" spans="1:10" x14ac:dyDescent="0.3">
      <c r="A250" t="s">
        <v>286</v>
      </c>
      <c r="B250">
        <v>64</v>
      </c>
      <c r="C250" t="s">
        <v>11</v>
      </c>
      <c r="D250" t="s">
        <v>39</v>
      </c>
      <c r="E250" s="1">
        <v>46191</v>
      </c>
      <c r="F250" t="s">
        <v>19</v>
      </c>
      <c r="G250" t="s">
        <v>19</v>
      </c>
      <c r="H250" t="s">
        <v>20</v>
      </c>
      <c r="J250" t="s">
        <v>21</v>
      </c>
    </row>
    <row r="251" spans="1:10" x14ac:dyDescent="0.3">
      <c r="A251" t="s">
        <v>287</v>
      </c>
      <c r="B251">
        <v>77</v>
      </c>
      <c r="C251" t="s">
        <v>11</v>
      </c>
      <c r="D251" t="s">
        <v>27</v>
      </c>
      <c r="E251" s="1">
        <v>46089</v>
      </c>
      <c r="F251" t="s">
        <v>56</v>
      </c>
      <c r="G251" t="s">
        <v>37</v>
      </c>
      <c r="H251" t="s">
        <v>15</v>
      </c>
      <c r="I251">
        <v>11</v>
      </c>
      <c r="J251" t="s">
        <v>48</v>
      </c>
    </row>
    <row r="252" spans="1:10" x14ac:dyDescent="0.3">
      <c r="A252" t="s">
        <v>288</v>
      </c>
      <c r="B252">
        <v>74</v>
      </c>
      <c r="C252" t="s">
        <v>25</v>
      </c>
      <c r="D252" t="s">
        <v>29</v>
      </c>
      <c r="E252" s="1">
        <v>46154</v>
      </c>
      <c r="F252" t="s">
        <v>52</v>
      </c>
      <c r="G252" t="s">
        <v>14</v>
      </c>
      <c r="H252" t="s">
        <v>15</v>
      </c>
      <c r="I252">
        <v>3</v>
      </c>
      <c r="J252" t="s">
        <v>42</v>
      </c>
    </row>
    <row r="253" spans="1:10" x14ac:dyDescent="0.3">
      <c r="A253" t="s">
        <v>289</v>
      </c>
      <c r="B253">
        <v>28</v>
      </c>
      <c r="C253" t="s">
        <v>11</v>
      </c>
      <c r="D253" t="s">
        <v>29</v>
      </c>
      <c r="E253" s="1">
        <v>46114</v>
      </c>
      <c r="F253" t="s">
        <v>19</v>
      </c>
      <c r="G253" t="s">
        <v>19</v>
      </c>
      <c r="H253" t="s">
        <v>20</v>
      </c>
      <c r="J253" t="s">
        <v>21</v>
      </c>
    </row>
    <row r="254" spans="1:10" x14ac:dyDescent="0.3">
      <c r="A254" t="s">
        <v>290</v>
      </c>
      <c r="B254">
        <v>76</v>
      </c>
      <c r="C254" t="s">
        <v>25</v>
      </c>
      <c r="D254" t="s">
        <v>12</v>
      </c>
      <c r="E254" s="1">
        <v>46100</v>
      </c>
      <c r="F254" t="s">
        <v>19</v>
      </c>
      <c r="G254" t="s">
        <v>19</v>
      </c>
      <c r="H254" t="s">
        <v>20</v>
      </c>
      <c r="J254" t="s">
        <v>21</v>
      </c>
    </row>
    <row r="255" spans="1:10" x14ac:dyDescent="0.3">
      <c r="A255" t="s">
        <v>291</v>
      </c>
      <c r="B255">
        <v>49</v>
      </c>
      <c r="C255" t="s">
        <v>25</v>
      </c>
      <c r="D255" t="s">
        <v>12</v>
      </c>
      <c r="E255" s="1">
        <v>46135</v>
      </c>
      <c r="F255" t="s">
        <v>19</v>
      </c>
      <c r="G255" t="s">
        <v>19</v>
      </c>
      <c r="H255" t="s">
        <v>20</v>
      </c>
      <c r="J255" t="s">
        <v>21</v>
      </c>
    </row>
    <row r="256" spans="1:10" x14ac:dyDescent="0.3">
      <c r="A256" t="s">
        <v>292</v>
      </c>
      <c r="B256">
        <v>23</v>
      </c>
      <c r="C256" t="s">
        <v>11</v>
      </c>
      <c r="D256" t="s">
        <v>12</v>
      </c>
      <c r="E256" s="1">
        <v>46075</v>
      </c>
      <c r="F256" t="s">
        <v>87</v>
      </c>
      <c r="G256" t="s">
        <v>14</v>
      </c>
      <c r="H256" t="s">
        <v>15</v>
      </c>
      <c r="I256">
        <v>11</v>
      </c>
      <c r="J256" t="s">
        <v>48</v>
      </c>
    </row>
    <row r="257" spans="1:10" x14ac:dyDescent="0.3">
      <c r="A257" t="s">
        <v>293</v>
      </c>
      <c r="B257">
        <v>40</v>
      </c>
      <c r="C257" t="s">
        <v>25</v>
      </c>
      <c r="D257" t="s">
        <v>33</v>
      </c>
      <c r="E257" s="1">
        <v>46102</v>
      </c>
      <c r="F257" t="s">
        <v>19</v>
      </c>
      <c r="G257" t="s">
        <v>19</v>
      </c>
      <c r="H257" t="s">
        <v>20</v>
      </c>
      <c r="J257" t="s">
        <v>21</v>
      </c>
    </row>
    <row r="258" spans="1:10" x14ac:dyDescent="0.3">
      <c r="A258" t="s">
        <v>294</v>
      </c>
      <c r="B258">
        <v>70</v>
      </c>
      <c r="C258" t="s">
        <v>11</v>
      </c>
      <c r="D258" t="s">
        <v>23</v>
      </c>
      <c r="E258" s="1">
        <v>46157</v>
      </c>
      <c r="F258" t="s">
        <v>19</v>
      </c>
      <c r="G258" t="s">
        <v>19</v>
      </c>
      <c r="H258" t="s">
        <v>20</v>
      </c>
      <c r="J258" t="s">
        <v>21</v>
      </c>
    </row>
    <row r="259" spans="1:10" x14ac:dyDescent="0.3">
      <c r="A259" t="s">
        <v>295</v>
      </c>
      <c r="B259">
        <v>32</v>
      </c>
      <c r="C259" t="s">
        <v>25</v>
      </c>
      <c r="D259" t="s">
        <v>23</v>
      </c>
      <c r="E259" s="1">
        <v>46148</v>
      </c>
      <c r="F259" t="s">
        <v>19</v>
      </c>
      <c r="G259" t="s">
        <v>19</v>
      </c>
      <c r="H259" t="s">
        <v>20</v>
      </c>
      <c r="J259" t="s">
        <v>21</v>
      </c>
    </row>
    <row r="260" spans="1:10" x14ac:dyDescent="0.3">
      <c r="A260" t="s">
        <v>296</v>
      </c>
      <c r="B260">
        <v>26</v>
      </c>
      <c r="C260" t="s">
        <v>11</v>
      </c>
      <c r="D260" t="s">
        <v>29</v>
      </c>
      <c r="E260" s="1">
        <v>46028</v>
      </c>
      <c r="F260" t="s">
        <v>19</v>
      </c>
      <c r="G260" t="s">
        <v>19</v>
      </c>
      <c r="H260" t="s">
        <v>20</v>
      </c>
      <c r="J260" t="s">
        <v>21</v>
      </c>
    </row>
    <row r="261" spans="1:10" x14ac:dyDescent="0.3">
      <c r="A261" t="s">
        <v>297</v>
      </c>
      <c r="B261">
        <v>57</v>
      </c>
      <c r="C261" t="s">
        <v>11</v>
      </c>
      <c r="D261" t="s">
        <v>29</v>
      </c>
      <c r="E261" s="1">
        <v>46056</v>
      </c>
      <c r="F261" t="s">
        <v>19</v>
      </c>
      <c r="G261" t="s">
        <v>19</v>
      </c>
      <c r="H261" t="s">
        <v>20</v>
      </c>
      <c r="J261" t="s">
        <v>21</v>
      </c>
    </row>
    <row r="262" spans="1:10" x14ac:dyDescent="0.3">
      <c r="A262" t="s">
        <v>298</v>
      </c>
      <c r="B262">
        <v>58</v>
      </c>
      <c r="C262" t="s">
        <v>25</v>
      </c>
      <c r="D262" t="s">
        <v>27</v>
      </c>
      <c r="E262" s="1">
        <v>46040</v>
      </c>
      <c r="F262" t="s">
        <v>13</v>
      </c>
      <c r="G262" t="s">
        <v>70</v>
      </c>
      <c r="H262" t="s">
        <v>15</v>
      </c>
      <c r="I262">
        <v>12</v>
      </c>
      <c r="J262" t="s">
        <v>48</v>
      </c>
    </row>
    <row r="263" spans="1:10" x14ac:dyDescent="0.3">
      <c r="A263" t="s">
        <v>299</v>
      </c>
      <c r="B263">
        <v>41</v>
      </c>
      <c r="C263" t="s">
        <v>11</v>
      </c>
      <c r="D263" t="s">
        <v>18</v>
      </c>
      <c r="E263" s="1">
        <v>46195</v>
      </c>
      <c r="F263" t="s">
        <v>19</v>
      </c>
      <c r="G263" t="s">
        <v>19</v>
      </c>
      <c r="H263" t="s">
        <v>20</v>
      </c>
      <c r="J263" t="s">
        <v>21</v>
      </c>
    </row>
    <row r="264" spans="1:10" x14ac:dyDescent="0.3">
      <c r="A264" t="s">
        <v>300</v>
      </c>
      <c r="B264">
        <v>53</v>
      </c>
      <c r="C264" t="s">
        <v>25</v>
      </c>
      <c r="D264" t="s">
        <v>12</v>
      </c>
      <c r="E264" s="1">
        <v>46202</v>
      </c>
      <c r="F264" t="s">
        <v>65</v>
      </c>
      <c r="G264" t="s">
        <v>37</v>
      </c>
      <c r="H264" t="s">
        <v>15</v>
      </c>
      <c r="I264">
        <v>4</v>
      </c>
      <c r="J264" t="s">
        <v>16</v>
      </c>
    </row>
    <row r="265" spans="1:10" x14ac:dyDescent="0.3">
      <c r="A265" t="s">
        <v>301</v>
      </c>
      <c r="B265">
        <v>43</v>
      </c>
      <c r="C265" t="s">
        <v>11</v>
      </c>
      <c r="D265" t="s">
        <v>33</v>
      </c>
      <c r="E265" s="1">
        <v>46047</v>
      </c>
      <c r="F265" t="s">
        <v>19</v>
      </c>
      <c r="G265" t="s">
        <v>19</v>
      </c>
      <c r="H265" t="s">
        <v>20</v>
      </c>
      <c r="J265" t="s">
        <v>21</v>
      </c>
    </row>
    <row r="266" spans="1:10" x14ac:dyDescent="0.3">
      <c r="A266" t="s">
        <v>302</v>
      </c>
      <c r="B266">
        <v>55</v>
      </c>
      <c r="C266" t="s">
        <v>11</v>
      </c>
      <c r="D266" t="s">
        <v>18</v>
      </c>
      <c r="E266" s="1">
        <v>46129</v>
      </c>
      <c r="F266" t="s">
        <v>52</v>
      </c>
      <c r="G266" t="s">
        <v>14</v>
      </c>
      <c r="H266" t="s">
        <v>15</v>
      </c>
      <c r="I266">
        <v>1</v>
      </c>
      <c r="J266" t="s">
        <v>42</v>
      </c>
    </row>
    <row r="267" spans="1:10" x14ac:dyDescent="0.3">
      <c r="A267" t="s">
        <v>303</v>
      </c>
      <c r="B267">
        <v>56</v>
      </c>
      <c r="C267" t="s">
        <v>11</v>
      </c>
      <c r="D267" t="s">
        <v>27</v>
      </c>
      <c r="E267" s="1">
        <v>46180</v>
      </c>
      <c r="F267" t="s">
        <v>19</v>
      </c>
      <c r="G267" t="s">
        <v>19</v>
      </c>
      <c r="H267" t="s">
        <v>20</v>
      </c>
      <c r="J267" t="s">
        <v>21</v>
      </c>
    </row>
    <row r="268" spans="1:10" x14ac:dyDescent="0.3">
      <c r="A268" t="s">
        <v>304</v>
      </c>
      <c r="B268">
        <v>67</v>
      </c>
      <c r="C268" t="s">
        <v>25</v>
      </c>
      <c r="D268" t="s">
        <v>33</v>
      </c>
      <c r="E268" s="1">
        <v>46036</v>
      </c>
      <c r="F268" t="s">
        <v>19</v>
      </c>
      <c r="G268" t="s">
        <v>19</v>
      </c>
      <c r="H268" t="s">
        <v>20</v>
      </c>
      <c r="J268" t="s">
        <v>21</v>
      </c>
    </row>
    <row r="269" spans="1:10" x14ac:dyDescent="0.3">
      <c r="A269" t="s">
        <v>305</v>
      </c>
      <c r="B269">
        <v>30</v>
      </c>
      <c r="C269" t="s">
        <v>11</v>
      </c>
      <c r="D269" t="s">
        <v>29</v>
      </c>
      <c r="E269" s="1">
        <v>46190</v>
      </c>
      <c r="F269" t="s">
        <v>19</v>
      </c>
      <c r="G269" t="s">
        <v>19</v>
      </c>
      <c r="H269" t="s">
        <v>20</v>
      </c>
      <c r="J269" t="s">
        <v>21</v>
      </c>
    </row>
    <row r="270" spans="1:10" x14ac:dyDescent="0.3">
      <c r="A270" t="s">
        <v>306</v>
      </c>
      <c r="B270">
        <v>26</v>
      </c>
      <c r="C270" t="s">
        <v>11</v>
      </c>
      <c r="D270" t="s">
        <v>33</v>
      </c>
      <c r="E270" s="1">
        <v>46086</v>
      </c>
      <c r="F270" t="s">
        <v>65</v>
      </c>
      <c r="G270" t="s">
        <v>14</v>
      </c>
      <c r="H270" t="s">
        <v>15</v>
      </c>
      <c r="I270">
        <v>12</v>
      </c>
      <c r="J270" t="s">
        <v>48</v>
      </c>
    </row>
    <row r="271" spans="1:10" x14ac:dyDescent="0.3">
      <c r="A271" t="s">
        <v>307</v>
      </c>
      <c r="B271">
        <v>39</v>
      </c>
      <c r="C271" t="s">
        <v>25</v>
      </c>
      <c r="D271" t="s">
        <v>33</v>
      </c>
      <c r="E271" s="1">
        <v>46166</v>
      </c>
      <c r="F271" t="s">
        <v>19</v>
      </c>
      <c r="G271" t="s">
        <v>19</v>
      </c>
      <c r="H271" t="s">
        <v>20</v>
      </c>
      <c r="J271" t="s">
        <v>21</v>
      </c>
    </row>
    <row r="272" spans="1:10" x14ac:dyDescent="0.3">
      <c r="A272" t="s">
        <v>308</v>
      </c>
      <c r="B272">
        <v>40</v>
      </c>
      <c r="C272" t="s">
        <v>11</v>
      </c>
      <c r="D272" t="s">
        <v>12</v>
      </c>
      <c r="E272" s="1">
        <v>46191</v>
      </c>
      <c r="F272" t="s">
        <v>36</v>
      </c>
      <c r="G272" t="s">
        <v>37</v>
      </c>
      <c r="H272" t="s">
        <v>15</v>
      </c>
      <c r="I272">
        <v>7</v>
      </c>
      <c r="J272" t="s">
        <v>42</v>
      </c>
    </row>
    <row r="273" spans="1:10" x14ac:dyDescent="0.3">
      <c r="A273" t="s">
        <v>309</v>
      </c>
      <c r="B273">
        <v>46</v>
      </c>
      <c r="C273" t="s">
        <v>25</v>
      </c>
      <c r="D273" t="s">
        <v>29</v>
      </c>
      <c r="E273" s="1">
        <v>46168</v>
      </c>
      <c r="F273" t="s">
        <v>19</v>
      </c>
      <c r="G273" t="s">
        <v>19</v>
      </c>
      <c r="H273" t="s">
        <v>20</v>
      </c>
      <c r="J273" t="s">
        <v>21</v>
      </c>
    </row>
    <row r="274" spans="1:10" x14ac:dyDescent="0.3">
      <c r="A274" t="s">
        <v>310</v>
      </c>
      <c r="B274">
        <v>22</v>
      </c>
      <c r="C274" t="s">
        <v>25</v>
      </c>
      <c r="D274" t="s">
        <v>33</v>
      </c>
      <c r="E274" s="1">
        <v>46118</v>
      </c>
      <c r="F274" t="s">
        <v>19</v>
      </c>
      <c r="G274" t="s">
        <v>19</v>
      </c>
      <c r="H274" t="s">
        <v>20</v>
      </c>
      <c r="J274" t="s">
        <v>21</v>
      </c>
    </row>
    <row r="275" spans="1:10" x14ac:dyDescent="0.3">
      <c r="A275" t="s">
        <v>311</v>
      </c>
      <c r="B275">
        <v>27</v>
      </c>
      <c r="C275" t="s">
        <v>25</v>
      </c>
      <c r="D275" t="s">
        <v>27</v>
      </c>
      <c r="E275" s="1">
        <v>46173</v>
      </c>
      <c r="F275" t="s">
        <v>19</v>
      </c>
      <c r="G275" t="s">
        <v>19</v>
      </c>
      <c r="H275" t="s">
        <v>20</v>
      </c>
      <c r="J275" t="s">
        <v>21</v>
      </c>
    </row>
    <row r="276" spans="1:10" x14ac:dyDescent="0.3">
      <c r="A276" t="s">
        <v>312</v>
      </c>
      <c r="B276">
        <v>19</v>
      </c>
      <c r="C276" t="s">
        <v>11</v>
      </c>
      <c r="D276" t="s">
        <v>12</v>
      </c>
      <c r="E276" s="1">
        <v>46195</v>
      </c>
      <c r="F276" t="s">
        <v>19</v>
      </c>
      <c r="G276" t="s">
        <v>19</v>
      </c>
      <c r="H276" t="s">
        <v>20</v>
      </c>
      <c r="J276" t="s">
        <v>21</v>
      </c>
    </row>
    <row r="277" spans="1:10" x14ac:dyDescent="0.3">
      <c r="A277" t="s">
        <v>313</v>
      </c>
      <c r="B277">
        <v>54</v>
      </c>
      <c r="C277" t="s">
        <v>11</v>
      </c>
      <c r="D277" t="s">
        <v>23</v>
      </c>
      <c r="E277" s="1">
        <v>46155</v>
      </c>
      <c r="F277" t="s">
        <v>19</v>
      </c>
      <c r="G277" t="s">
        <v>19</v>
      </c>
      <c r="H277" t="s">
        <v>20</v>
      </c>
      <c r="J277" t="s">
        <v>21</v>
      </c>
    </row>
    <row r="278" spans="1:10" x14ac:dyDescent="0.3">
      <c r="A278" t="s">
        <v>314</v>
      </c>
      <c r="B278">
        <v>34</v>
      </c>
      <c r="C278" t="s">
        <v>11</v>
      </c>
      <c r="D278" t="s">
        <v>29</v>
      </c>
      <c r="E278" s="1">
        <v>46175</v>
      </c>
      <c r="F278" t="s">
        <v>19</v>
      </c>
      <c r="G278" t="s">
        <v>19</v>
      </c>
      <c r="H278" t="s">
        <v>20</v>
      </c>
      <c r="J278" t="s">
        <v>21</v>
      </c>
    </row>
    <row r="279" spans="1:10" x14ac:dyDescent="0.3">
      <c r="A279" t="s">
        <v>315</v>
      </c>
      <c r="B279">
        <v>39</v>
      </c>
      <c r="C279" t="s">
        <v>11</v>
      </c>
      <c r="D279" t="s">
        <v>39</v>
      </c>
      <c r="E279" s="1">
        <v>46169</v>
      </c>
      <c r="F279" t="s">
        <v>13</v>
      </c>
      <c r="G279" t="s">
        <v>37</v>
      </c>
      <c r="H279" t="s">
        <v>15</v>
      </c>
      <c r="I279">
        <v>14</v>
      </c>
      <c r="J279" t="s">
        <v>16</v>
      </c>
    </row>
    <row r="280" spans="1:10" x14ac:dyDescent="0.3">
      <c r="A280" t="s">
        <v>316</v>
      </c>
      <c r="B280">
        <v>39</v>
      </c>
      <c r="C280" t="s">
        <v>25</v>
      </c>
      <c r="D280" t="s">
        <v>33</v>
      </c>
      <c r="E280" s="1">
        <v>46143</v>
      </c>
      <c r="F280" t="s">
        <v>19</v>
      </c>
      <c r="G280" t="s">
        <v>19</v>
      </c>
      <c r="H280" t="s">
        <v>20</v>
      </c>
      <c r="J280" t="s">
        <v>21</v>
      </c>
    </row>
    <row r="281" spans="1:10" x14ac:dyDescent="0.3">
      <c r="A281" t="s">
        <v>317</v>
      </c>
      <c r="B281">
        <v>23</v>
      </c>
      <c r="C281" t="s">
        <v>25</v>
      </c>
      <c r="D281" t="s">
        <v>33</v>
      </c>
      <c r="E281" s="1">
        <v>46167</v>
      </c>
      <c r="F281" t="s">
        <v>19</v>
      </c>
      <c r="G281" t="s">
        <v>19</v>
      </c>
      <c r="H281" t="s">
        <v>20</v>
      </c>
      <c r="J281" t="s">
        <v>21</v>
      </c>
    </row>
    <row r="282" spans="1:10" x14ac:dyDescent="0.3">
      <c r="A282" t="s">
        <v>318</v>
      </c>
      <c r="B282">
        <v>35</v>
      </c>
      <c r="C282" t="s">
        <v>25</v>
      </c>
      <c r="D282" t="s">
        <v>35</v>
      </c>
      <c r="E282" s="1">
        <v>46102</v>
      </c>
      <c r="F282" t="s">
        <v>19</v>
      </c>
      <c r="G282" t="s">
        <v>19</v>
      </c>
      <c r="H282" t="s">
        <v>20</v>
      </c>
      <c r="J282" t="s">
        <v>21</v>
      </c>
    </row>
    <row r="283" spans="1:10" x14ac:dyDescent="0.3">
      <c r="A283" t="s">
        <v>319</v>
      </c>
      <c r="B283">
        <v>67</v>
      </c>
      <c r="C283" t="s">
        <v>25</v>
      </c>
      <c r="D283" t="s">
        <v>18</v>
      </c>
      <c r="E283" s="1">
        <v>46166</v>
      </c>
      <c r="F283" t="s">
        <v>19</v>
      </c>
      <c r="G283" t="s">
        <v>19</v>
      </c>
      <c r="H283" t="s">
        <v>20</v>
      </c>
      <c r="J283" t="s">
        <v>21</v>
      </c>
    </row>
    <row r="284" spans="1:10" x14ac:dyDescent="0.3">
      <c r="A284" t="s">
        <v>320</v>
      </c>
      <c r="B284">
        <v>22</v>
      </c>
      <c r="C284" t="s">
        <v>11</v>
      </c>
      <c r="D284" t="s">
        <v>18</v>
      </c>
      <c r="E284" s="1">
        <v>46073</v>
      </c>
      <c r="F284" t="s">
        <v>65</v>
      </c>
      <c r="G284" t="s">
        <v>37</v>
      </c>
      <c r="H284" t="s">
        <v>15</v>
      </c>
      <c r="I284">
        <v>2</v>
      </c>
      <c r="J284" t="s">
        <v>48</v>
      </c>
    </row>
    <row r="285" spans="1:10" x14ac:dyDescent="0.3">
      <c r="A285" t="s">
        <v>321</v>
      </c>
      <c r="B285">
        <v>29</v>
      </c>
      <c r="C285" t="s">
        <v>25</v>
      </c>
      <c r="D285" t="s">
        <v>18</v>
      </c>
      <c r="E285" s="1">
        <v>46056</v>
      </c>
      <c r="F285" t="s">
        <v>52</v>
      </c>
      <c r="G285" t="s">
        <v>37</v>
      </c>
      <c r="H285" t="s">
        <v>15</v>
      </c>
      <c r="I285">
        <v>1</v>
      </c>
      <c r="J285" t="s">
        <v>48</v>
      </c>
    </row>
    <row r="286" spans="1:10" x14ac:dyDescent="0.3">
      <c r="A286" t="s">
        <v>322</v>
      </c>
      <c r="B286">
        <v>75</v>
      </c>
      <c r="C286" t="s">
        <v>11</v>
      </c>
      <c r="D286" t="s">
        <v>33</v>
      </c>
      <c r="E286" s="1">
        <v>46062</v>
      </c>
      <c r="F286" t="s">
        <v>87</v>
      </c>
      <c r="G286" t="s">
        <v>70</v>
      </c>
      <c r="H286" t="s">
        <v>15</v>
      </c>
      <c r="I286">
        <v>11</v>
      </c>
      <c r="J286" t="s">
        <v>16</v>
      </c>
    </row>
    <row r="287" spans="1:10" x14ac:dyDescent="0.3">
      <c r="A287" t="s">
        <v>323</v>
      </c>
      <c r="B287">
        <v>48</v>
      </c>
      <c r="C287" t="s">
        <v>11</v>
      </c>
      <c r="D287" t="s">
        <v>39</v>
      </c>
      <c r="E287" s="1">
        <v>46050</v>
      </c>
      <c r="F287" t="s">
        <v>36</v>
      </c>
      <c r="G287" t="s">
        <v>14</v>
      </c>
      <c r="H287" t="s">
        <v>15</v>
      </c>
      <c r="I287">
        <v>8</v>
      </c>
      <c r="J287" t="s">
        <v>48</v>
      </c>
    </row>
    <row r="288" spans="1:10" x14ac:dyDescent="0.3">
      <c r="A288" t="s">
        <v>324</v>
      </c>
      <c r="B288">
        <v>58</v>
      </c>
      <c r="C288" t="s">
        <v>11</v>
      </c>
      <c r="D288" t="s">
        <v>12</v>
      </c>
      <c r="E288" s="1">
        <v>46143</v>
      </c>
      <c r="F288" t="s">
        <v>19</v>
      </c>
      <c r="G288" t="s">
        <v>19</v>
      </c>
      <c r="H288" t="s">
        <v>20</v>
      </c>
      <c r="J288" t="s">
        <v>21</v>
      </c>
    </row>
    <row r="289" spans="1:10" x14ac:dyDescent="0.3">
      <c r="A289" t="s">
        <v>325</v>
      </c>
      <c r="B289">
        <v>24</v>
      </c>
      <c r="C289" t="s">
        <v>25</v>
      </c>
      <c r="D289" t="s">
        <v>12</v>
      </c>
      <c r="E289" s="1">
        <v>46084</v>
      </c>
      <c r="F289" t="s">
        <v>52</v>
      </c>
      <c r="G289" t="s">
        <v>37</v>
      </c>
      <c r="H289" t="s">
        <v>15</v>
      </c>
      <c r="I289">
        <v>10</v>
      </c>
      <c r="J289" t="s">
        <v>16</v>
      </c>
    </row>
    <row r="290" spans="1:10" x14ac:dyDescent="0.3">
      <c r="A290" t="s">
        <v>326</v>
      </c>
      <c r="B290">
        <v>58</v>
      </c>
      <c r="C290" t="s">
        <v>25</v>
      </c>
      <c r="D290" t="s">
        <v>29</v>
      </c>
      <c r="E290" s="1">
        <v>46065</v>
      </c>
      <c r="F290" t="s">
        <v>19</v>
      </c>
      <c r="G290" t="s">
        <v>19</v>
      </c>
      <c r="H290" t="s">
        <v>20</v>
      </c>
      <c r="J290" t="s">
        <v>21</v>
      </c>
    </row>
    <row r="291" spans="1:10" x14ac:dyDescent="0.3">
      <c r="A291" t="s">
        <v>327</v>
      </c>
      <c r="B291">
        <v>20</v>
      </c>
      <c r="C291" t="s">
        <v>11</v>
      </c>
      <c r="D291" t="s">
        <v>18</v>
      </c>
      <c r="E291" s="1">
        <v>46202</v>
      </c>
      <c r="F291" t="s">
        <v>19</v>
      </c>
      <c r="G291" t="s">
        <v>19</v>
      </c>
      <c r="H291" t="s">
        <v>20</v>
      </c>
      <c r="J291" t="s">
        <v>21</v>
      </c>
    </row>
    <row r="292" spans="1:10" x14ac:dyDescent="0.3">
      <c r="A292" t="s">
        <v>328</v>
      </c>
      <c r="B292">
        <v>60</v>
      </c>
      <c r="C292" t="s">
        <v>25</v>
      </c>
      <c r="D292" t="s">
        <v>18</v>
      </c>
      <c r="E292" s="1">
        <v>46062</v>
      </c>
      <c r="F292" t="s">
        <v>41</v>
      </c>
      <c r="G292" t="s">
        <v>37</v>
      </c>
      <c r="H292" t="s">
        <v>15</v>
      </c>
      <c r="I292">
        <v>3</v>
      </c>
      <c r="J292" t="s">
        <v>16</v>
      </c>
    </row>
    <row r="293" spans="1:10" x14ac:dyDescent="0.3">
      <c r="A293" t="s">
        <v>329</v>
      </c>
      <c r="B293">
        <v>78</v>
      </c>
      <c r="C293" t="s">
        <v>11</v>
      </c>
      <c r="D293" t="s">
        <v>33</v>
      </c>
      <c r="E293" s="1">
        <v>46114</v>
      </c>
      <c r="F293" t="s">
        <v>65</v>
      </c>
      <c r="G293" t="s">
        <v>37</v>
      </c>
      <c r="H293" t="s">
        <v>15</v>
      </c>
      <c r="I293">
        <v>9</v>
      </c>
      <c r="J293" t="s">
        <v>42</v>
      </c>
    </row>
    <row r="294" spans="1:10" x14ac:dyDescent="0.3">
      <c r="A294" t="s">
        <v>330</v>
      </c>
      <c r="B294">
        <v>62</v>
      </c>
      <c r="C294" t="s">
        <v>11</v>
      </c>
      <c r="D294" t="s">
        <v>35</v>
      </c>
      <c r="E294" s="1">
        <v>46029</v>
      </c>
      <c r="F294" t="s">
        <v>19</v>
      </c>
      <c r="G294" t="s">
        <v>19</v>
      </c>
      <c r="H294" t="s">
        <v>20</v>
      </c>
      <c r="J294" t="s">
        <v>21</v>
      </c>
    </row>
    <row r="295" spans="1:10" x14ac:dyDescent="0.3">
      <c r="A295" t="s">
        <v>331</v>
      </c>
      <c r="B295">
        <v>61</v>
      </c>
      <c r="C295" t="s">
        <v>25</v>
      </c>
      <c r="D295" t="s">
        <v>18</v>
      </c>
      <c r="E295" s="1">
        <v>46037</v>
      </c>
      <c r="F295" t="s">
        <v>19</v>
      </c>
      <c r="G295" t="s">
        <v>19</v>
      </c>
      <c r="H295" t="s">
        <v>20</v>
      </c>
      <c r="J295" t="s">
        <v>21</v>
      </c>
    </row>
    <row r="296" spans="1:10" x14ac:dyDescent="0.3">
      <c r="A296" t="s">
        <v>332</v>
      </c>
      <c r="B296">
        <v>63</v>
      </c>
      <c r="C296" t="s">
        <v>11</v>
      </c>
      <c r="D296" t="s">
        <v>29</v>
      </c>
      <c r="E296" s="1">
        <v>46152</v>
      </c>
      <c r="F296" t="s">
        <v>19</v>
      </c>
      <c r="G296" t="s">
        <v>19</v>
      </c>
      <c r="H296" t="s">
        <v>20</v>
      </c>
      <c r="J296" t="s">
        <v>21</v>
      </c>
    </row>
    <row r="297" spans="1:10" x14ac:dyDescent="0.3">
      <c r="A297" t="s">
        <v>333</v>
      </c>
      <c r="B297">
        <v>79</v>
      </c>
      <c r="C297" t="s">
        <v>25</v>
      </c>
      <c r="D297" t="s">
        <v>35</v>
      </c>
      <c r="E297" s="1">
        <v>46166</v>
      </c>
      <c r="F297" t="s">
        <v>19</v>
      </c>
      <c r="G297" t="s">
        <v>19</v>
      </c>
      <c r="H297" t="s">
        <v>20</v>
      </c>
      <c r="J297" t="s">
        <v>21</v>
      </c>
    </row>
    <row r="298" spans="1:10" x14ac:dyDescent="0.3">
      <c r="A298" t="s">
        <v>334</v>
      </c>
      <c r="B298">
        <v>18</v>
      </c>
      <c r="C298" t="s">
        <v>25</v>
      </c>
      <c r="D298" t="s">
        <v>12</v>
      </c>
      <c r="E298" s="1">
        <v>46124</v>
      </c>
      <c r="F298" t="s">
        <v>19</v>
      </c>
      <c r="G298" t="s">
        <v>19</v>
      </c>
      <c r="H298" t="s">
        <v>20</v>
      </c>
      <c r="J298" t="s">
        <v>21</v>
      </c>
    </row>
    <row r="299" spans="1:10" x14ac:dyDescent="0.3">
      <c r="A299" t="s">
        <v>335</v>
      </c>
      <c r="B299">
        <v>71</v>
      </c>
      <c r="C299" t="s">
        <v>11</v>
      </c>
      <c r="D299" t="s">
        <v>18</v>
      </c>
      <c r="E299" s="1">
        <v>46165</v>
      </c>
      <c r="F299" t="s">
        <v>13</v>
      </c>
      <c r="G299" t="s">
        <v>70</v>
      </c>
      <c r="H299" t="s">
        <v>15</v>
      </c>
      <c r="I299">
        <v>8</v>
      </c>
      <c r="J299" t="s">
        <v>42</v>
      </c>
    </row>
    <row r="300" spans="1:10" x14ac:dyDescent="0.3">
      <c r="A300" t="s">
        <v>336</v>
      </c>
      <c r="B300">
        <v>64</v>
      </c>
      <c r="C300" t="s">
        <v>11</v>
      </c>
      <c r="D300" t="s">
        <v>12</v>
      </c>
      <c r="E300" s="1">
        <v>46191</v>
      </c>
      <c r="F300" t="s">
        <v>19</v>
      </c>
      <c r="G300" t="s">
        <v>19</v>
      </c>
      <c r="H300" t="s">
        <v>20</v>
      </c>
      <c r="J300" t="s">
        <v>21</v>
      </c>
    </row>
    <row r="301" spans="1:10" x14ac:dyDescent="0.3">
      <c r="A301" t="s">
        <v>337</v>
      </c>
      <c r="B301">
        <v>39</v>
      </c>
      <c r="C301" t="s">
        <v>11</v>
      </c>
      <c r="D301" t="s">
        <v>18</v>
      </c>
      <c r="E301" s="1">
        <v>46028</v>
      </c>
      <c r="F301" t="s">
        <v>65</v>
      </c>
      <c r="G301" t="s">
        <v>14</v>
      </c>
      <c r="H301" t="s">
        <v>15</v>
      </c>
      <c r="I301">
        <v>9</v>
      </c>
      <c r="J301" t="s">
        <v>48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BFD78-19B1-4C66-9F0C-AD9A6F9BE86B}">
  <dimension ref="A1:M46"/>
  <sheetViews>
    <sheetView topLeftCell="A21" workbookViewId="0">
      <selection activeCell="B43" sqref="B43"/>
    </sheetView>
  </sheetViews>
  <sheetFormatPr defaultRowHeight="14.4" x14ac:dyDescent="0.3"/>
  <cols>
    <col min="1" max="1" width="12.5546875" bestFit="1" customWidth="1"/>
    <col min="2" max="3" width="17.77734375" bestFit="1" customWidth="1"/>
    <col min="4" max="4" width="12.77734375" bestFit="1" customWidth="1"/>
    <col min="5" max="5" width="15.5546875" bestFit="1" customWidth="1"/>
    <col min="6" max="6" width="8.33203125" bestFit="1" customWidth="1"/>
    <col min="7" max="7" width="7.109375" bestFit="1" customWidth="1"/>
    <col min="8" max="8" width="9.33203125" bestFit="1" customWidth="1"/>
    <col min="9" max="9" width="6.77734375" bestFit="1" customWidth="1"/>
    <col min="10" max="10" width="7.21875" bestFit="1" customWidth="1"/>
    <col min="11" max="11" width="5" bestFit="1" customWidth="1"/>
    <col min="12" max="12" width="8.6640625" bestFit="1" customWidth="1"/>
    <col min="13" max="15" width="10.77734375" bestFit="1" customWidth="1"/>
    <col min="16" max="68" width="3" bestFit="1" customWidth="1"/>
    <col min="69" max="69" width="10.77734375" bestFit="1" customWidth="1"/>
    <col min="70" max="73" width="11.33203125" bestFit="1" customWidth="1"/>
    <col min="74" max="74" width="14.109375" bestFit="1" customWidth="1"/>
    <col min="75" max="86" width="8.77734375" bestFit="1" customWidth="1"/>
    <col min="87" max="87" width="11.44140625" bestFit="1" customWidth="1"/>
    <col min="88" max="100" width="9.21875" bestFit="1" customWidth="1"/>
    <col min="101" max="101" width="11.88671875" bestFit="1" customWidth="1"/>
    <col min="102" max="161" width="7.5546875" bestFit="1" customWidth="1"/>
    <col min="162" max="162" width="10.21875" bestFit="1" customWidth="1"/>
    <col min="163" max="175" width="7" bestFit="1" customWidth="1"/>
    <col min="176" max="176" width="9.6640625" bestFit="1" customWidth="1"/>
    <col min="177" max="192" width="10.6640625" bestFit="1" customWidth="1"/>
    <col min="193" max="193" width="13.44140625" bestFit="1" customWidth="1"/>
    <col min="194" max="194" width="10.77734375" bestFit="1" customWidth="1"/>
  </cols>
  <sheetData>
    <row r="1" spans="1:13" x14ac:dyDescent="0.3">
      <c r="A1" s="4" t="s">
        <v>5</v>
      </c>
      <c r="B1" t="s">
        <v>349</v>
      </c>
    </row>
    <row r="3" spans="1:13" x14ac:dyDescent="0.3">
      <c r="A3" s="4" t="s">
        <v>340</v>
      </c>
      <c r="B3" t="s">
        <v>350</v>
      </c>
      <c r="D3" s="4" t="s">
        <v>351</v>
      </c>
      <c r="E3" s="4" t="s">
        <v>343</v>
      </c>
    </row>
    <row r="4" spans="1:13" x14ac:dyDescent="0.3">
      <c r="A4" s="5" t="s">
        <v>35</v>
      </c>
      <c r="B4">
        <v>22</v>
      </c>
      <c r="D4" s="4" t="s">
        <v>340</v>
      </c>
      <c r="E4" t="s">
        <v>65</v>
      </c>
      <c r="F4" t="s">
        <v>41</v>
      </c>
      <c r="G4" t="s">
        <v>56</v>
      </c>
      <c r="H4" t="s">
        <v>52</v>
      </c>
      <c r="I4" t="s">
        <v>36</v>
      </c>
      <c r="J4" t="s">
        <v>87</v>
      </c>
      <c r="K4" t="s">
        <v>13</v>
      </c>
      <c r="L4" t="s">
        <v>45</v>
      </c>
      <c r="M4" t="s">
        <v>341</v>
      </c>
    </row>
    <row r="5" spans="1:13" x14ac:dyDescent="0.3">
      <c r="A5" s="5" t="s">
        <v>12</v>
      </c>
      <c r="B5">
        <v>18</v>
      </c>
      <c r="D5" s="5" t="s">
        <v>18</v>
      </c>
      <c r="E5">
        <v>4</v>
      </c>
      <c r="F5">
        <v>2</v>
      </c>
      <c r="G5">
        <v>1</v>
      </c>
      <c r="H5">
        <v>4</v>
      </c>
      <c r="I5">
        <v>1</v>
      </c>
      <c r="K5">
        <v>2</v>
      </c>
      <c r="M5">
        <v>14</v>
      </c>
    </row>
    <row r="6" spans="1:13" x14ac:dyDescent="0.3">
      <c r="A6" s="5" t="s">
        <v>27</v>
      </c>
      <c r="B6">
        <v>17</v>
      </c>
      <c r="D6" s="5" t="s">
        <v>35</v>
      </c>
      <c r="E6">
        <v>2</v>
      </c>
      <c r="F6">
        <v>1</v>
      </c>
      <c r="G6">
        <v>2</v>
      </c>
      <c r="H6">
        <v>2</v>
      </c>
      <c r="I6">
        <v>1</v>
      </c>
      <c r="J6">
        <v>5</v>
      </c>
      <c r="K6">
        <v>2</v>
      </c>
      <c r="L6">
        <v>7</v>
      </c>
      <c r="M6">
        <v>22</v>
      </c>
    </row>
    <row r="7" spans="1:13" x14ac:dyDescent="0.3">
      <c r="A7" s="5" t="s">
        <v>29</v>
      </c>
      <c r="B7">
        <v>17</v>
      </c>
      <c r="D7" s="5" t="s">
        <v>29</v>
      </c>
      <c r="E7">
        <v>4</v>
      </c>
      <c r="F7">
        <v>2</v>
      </c>
      <c r="G7">
        <v>1</v>
      </c>
      <c r="H7">
        <v>3</v>
      </c>
      <c r="I7">
        <v>2</v>
      </c>
      <c r="J7">
        <v>3</v>
      </c>
      <c r="K7">
        <v>1</v>
      </c>
      <c r="L7">
        <v>1</v>
      </c>
      <c r="M7">
        <v>17</v>
      </c>
    </row>
    <row r="8" spans="1:13" x14ac:dyDescent="0.3">
      <c r="A8" s="5" t="s">
        <v>39</v>
      </c>
      <c r="B8">
        <v>17</v>
      </c>
      <c r="D8" s="5" t="s">
        <v>39</v>
      </c>
      <c r="E8">
        <v>1</v>
      </c>
      <c r="F8">
        <v>2</v>
      </c>
      <c r="G8">
        <v>3</v>
      </c>
      <c r="H8">
        <v>2</v>
      </c>
      <c r="I8">
        <v>3</v>
      </c>
      <c r="K8">
        <v>4</v>
      </c>
      <c r="L8">
        <v>2</v>
      </c>
      <c r="M8">
        <v>17</v>
      </c>
    </row>
    <row r="9" spans="1:13" x14ac:dyDescent="0.3">
      <c r="A9" s="5" t="s">
        <v>23</v>
      </c>
      <c r="B9">
        <v>16</v>
      </c>
      <c r="D9" s="5" t="s">
        <v>12</v>
      </c>
      <c r="E9">
        <v>3</v>
      </c>
      <c r="F9">
        <v>1</v>
      </c>
      <c r="G9">
        <v>3</v>
      </c>
      <c r="H9">
        <v>4</v>
      </c>
      <c r="I9">
        <v>3</v>
      </c>
      <c r="J9">
        <v>1</v>
      </c>
      <c r="K9">
        <v>1</v>
      </c>
      <c r="L9">
        <v>2</v>
      </c>
      <c r="M9">
        <v>18</v>
      </c>
    </row>
    <row r="10" spans="1:13" x14ac:dyDescent="0.3">
      <c r="A10" s="5" t="s">
        <v>18</v>
      </c>
      <c r="B10">
        <v>14</v>
      </c>
      <c r="D10" s="5" t="s">
        <v>23</v>
      </c>
      <c r="F10">
        <v>3</v>
      </c>
      <c r="H10">
        <v>2</v>
      </c>
      <c r="I10">
        <v>2</v>
      </c>
      <c r="J10">
        <v>2</v>
      </c>
      <c r="K10">
        <v>4</v>
      </c>
      <c r="L10">
        <v>3</v>
      </c>
      <c r="M10">
        <v>16</v>
      </c>
    </row>
    <row r="11" spans="1:13" x14ac:dyDescent="0.3">
      <c r="A11" s="5" t="s">
        <v>33</v>
      </c>
      <c r="B11">
        <v>12</v>
      </c>
      <c r="D11" s="5" t="s">
        <v>27</v>
      </c>
      <c r="E11">
        <v>1</v>
      </c>
      <c r="F11">
        <v>4</v>
      </c>
      <c r="G11">
        <v>2</v>
      </c>
      <c r="H11">
        <v>4</v>
      </c>
      <c r="J11">
        <v>2</v>
      </c>
      <c r="K11">
        <v>1</v>
      </c>
      <c r="L11">
        <v>3</v>
      </c>
      <c r="M11">
        <v>17</v>
      </c>
    </row>
    <row r="12" spans="1:13" x14ac:dyDescent="0.3">
      <c r="A12" s="5" t="s">
        <v>341</v>
      </c>
      <c r="B12">
        <v>133</v>
      </c>
      <c r="D12" s="5" t="s">
        <v>33</v>
      </c>
      <c r="E12">
        <v>4</v>
      </c>
      <c r="F12">
        <v>2</v>
      </c>
      <c r="G12">
        <v>2</v>
      </c>
      <c r="H12">
        <v>1</v>
      </c>
      <c r="J12">
        <v>1</v>
      </c>
      <c r="L12">
        <v>2</v>
      </c>
      <c r="M12">
        <v>12</v>
      </c>
    </row>
    <row r="13" spans="1:13" x14ac:dyDescent="0.3">
      <c r="D13" s="5" t="s">
        <v>341</v>
      </c>
      <c r="E13">
        <v>19</v>
      </c>
      <c r="F13">
        <v>17</v>
      </c>
      <c r="G13">
        <v>14</v>
      </c>
      <c r="H13">
        <v>22</v>
      </c>
      <c r="I13">
        <v>12</v>
      </c>
      <c r="J13">
        <v>14</v>
      </c>
      <c r="K13">
        <v>15</v>
      </c>
      <c r="L13">
        <v>20</v>
      </c>
      <c r="M13">
        <v>133</v>
      </c>
    </row>
    <row r="16" spans="1:13" x14ac:dyDescent="0.3">
      <c r="E16" s="4" t="s">
        <v>5</v>
      </c>
      <c r="F16" t="s">
        <v>349</v>
      </c>
    </row>
    <row r="17" spans="2:10" x14ac:dyDescent="0.3">
      <c r="B17" s="4" t="s">
        <v>340</v>
      </c>
      <c r="C17" t="s">
        <v>342</v>
      </c>
    </row>
    <row r="18" spans="2:10" x14ac:dyDescent="0.3">
      <c r="B18" s="5" t="s">
        <v>37</v>
      </c>
      <c r="C18">
        <v>75</v>
      </c>
      <c r="E18" s="4" t="s">
        <v>340</v>
      </c>
      <c r="F18" t="s">
        <v>342</v>
      </c>
    </row>
    <row r="19" spans="2:10" x14ac:dyDescent="0.3">
      <c r="B19" s="5" t="s">
        <v>14</v>
      </c>
      <c r="C19">
        <v>46</v>
      </c>
      <c r="E19" s="5" t="s">
        <v>352</v>
      </c>
      <c r="F19">
        <v>30</v>
      </c>
    </row>
    <row r="20" spans="2:10" x14ac:dyDescent="0.3">
      <c r="B20" s="5" t="s">
        <v>70</v>
      </c>
      <c r="C20">
        <v>12</v>
      </c>
      <c r="E20" s="5" t="s">
        <v>353</v>
      </c>
      <c r="F20">
        <v>21</v>
      </c>
    </row>
    <row r="21" spans="2:10" x14ac:dyDescent="0.3">
      <c r="B21" s="5" t="s">
        <v>341</v>
      </c>
      <c r="C21">
        <v>133</v>
      </c>
      <c r="E21" s="5" t="s">
        <v>354</v>
      </c>
      <c r="F21">
        <v>21</v>
      </c>
    </row>
    <row r="22" spans="2:10" x14ac:dyDescent="0.3">
      <c r="E22" s="5" t="s">
        <v>355</v>
      </c>
      <c r="F22">
        <v>20</v>
      </c>
    </row>
    <row r="23" spans="2:10" x14ac:dyDescent="0.3">
      <c r="E23" s="5" t="s">
        <v>356</v>
      </c>
      <c r="F23">
        <v>18</v>
      </c>
    </row>
    <row r="24" spans="2:10" x14ac:dyDescent="0.3">
      <c r="E24" s="5" t="s">
        <v>357</v>
      </c>
      <c r="F24">
        <v>17</v>
      </c>
    </row>
    <row r="25" spans="2:10" x14ac:dyDescent="0.3">
      <c r="E25" s="5" t="s">
        <v>358</v>
      </c>
      <c r="F25">
        <v>6</v>
      </c>
      <c r="I25" s="4" t="s">
        <v>5</v>
      </c>
      <c r="J25" t="s">
        <v>349</v>
      </c>
    </row>
    <row r="26" spans="2:10" x14ac:dyDescent="0.3">
      <c r="B26" s="4" t="s">
        <v>5</v>
      </c>
      <c r="C26" t="s">
        <v>349</v>
      </c>
      <c r="E26" s="5" t="s">
        <v>341</v>
      </c>
      <c r="F26">
        <v>133</v>
      </c>
    </row>
    <row r="27" spans="2:10" x14ac:dyDescent="0.3">
      <c r="I27" s="4" t="s">
        <v>340</v>
      </c>
      <c r="J27" t="s">
        <v>342</v>
      </c>
    </row>
    <row r="28" spans="2:10" x14ac:dyDescent="0.3">
      <c r="B28" s="4" t="s">
        <v>340</v>
      </c>
      <c r="C28" t="s">
        <v>359</v>
      </c>
      <c r="I28" s="5">
        <v>2</v>
      </c>
      <c r="J28">
        <v>17</v>
      </c>
    </row>
    <row r="29" spans="2:10" x14ac:dyDescent="0.3">
      <c r="B29" s="5" t="s">
        <v>25</v>
      </c>
      <c r="C29">
        <v>53</v>
      </c>
      <c r="I29" s="5">
        <v>12</v>
      </c>
      <c r="J29">
        <v>16</v>
      </c>
    </row>
    <row r="30" spans="2:10" x14ac:dyDescent="0.3">
      <c r="B30" s="5" t="s">
        <v>11</v>
      </c>
      <c r="C30">
        <v>80</v>
      </c>
      <c r="I30" s="5">
        <v>9</v>
      </c>
      <c r="J30">
        <v>12</v>
      </c>
    </row>
    <row r="31" spans="2:10" x14ac:dyDescent="0.3">
      <c r="B31" s="5" t="s">
        <v>341</v>
      </c>
      <c r="C31">
        <v>133</v>
      </c>
      <c r="I31" s="5">
        <v>1</v>
      </c>
      <c r="J31">
        <v>12</v>
      </c>
    </row>
    <row r="32" spans="2:10" x14ac:dyDescent="0.3">
      <c r="I32" s="5">
        <v>7</v>
      </c>
      <c r="J32">
        <v>12</v>
      </c>
    </row>
    <row r="33" spans="1:10" x14ac:dyDescent="0.3">
      <c r="I33" s="5">
        <v>8</v>
      </c>
      <c r="J33">
        <v>10</v>
      </c>
    </row>
    <row r="34" spans="1:10" x14ac:dyDescent="0.3">
      <c r="I34" s="5">
        <v>4</v>
      </c>
      <c r="J34">
        <v>9</v>
      </c>
    </row>
    <row r="35" spans="1:10" x14ac:dyDescent="0.3">
      <c r="I35" s="5">
        <v>13</v>
      </c>
      <c r="J35">
        <v>8</v>
      </c>
    </row>
    <row r="36" spans="1:10" x14ac:dyDescent="0.3">
      <c r="I36" s="5">
        <v>11</v>
      </c>
      <c r="J36">
        <v>8</v>
      </c>
    </row>
    <row r="37" spans="1:10" x14ac:dyDescent="0.3">
      <c r="A37" s="4" t="s">
        <v>5</v>
      </c>
      <c r="B37" t="s">
        <v>349</v>
      </c>
      <c r="I37" s="5">
        <v>14</v>
      </c>
      <c r="J37">
        <v>8</v>
      </c>
    </row>
    <row r="38" spans="1:10" x14ac:dyDescent="0.3">
      <c r="I38" s="5">
        <v>3</v>
      </c>
      <c r="J38">
        <v>7</v>
      </c>
    </row>
    <row r="39" spans="1:10" x14ac:dyDescent="0.3">
      <c r="A39" s="4" t="s">
        <v>340</v>
      </c>
      <c r="B39" t="s">
        <v>342</v>
      </c>
      <c r="I39" s="5">
        <v>10</v>
      </c>
      <c r="J39">
        <v>7</v>
      </c>
    </row>
    <row r="40" spans="1:10" x14ac:dyDescent="0.3">
      <c r="A40" s="5" t="s">
        <v>360</v>
      </c>
      <c r="B40">
        <v>28</v>
      </c>
      <c r="I40" s="5">
        <v>5</v>
      </c>
      <c r="J40">
        <v>4</v>
      </c>
    </row>
    <row r="41" spans="1:10" x14ac:dyDescent="0.3">
      <c r="A41" s="5" t="s">
        <v>361</v>
      </c>
      <c r="B41">
        <v>23</v>
      </c>
      <c r="I41" s="5">
        <v>6</v>
      </c>
      <c r="J41">
        <v>3</v>
      </c>
    </row>
    <row r="42" spans="1:10" x14ac:dyDescent="0.3">
      <c r="A42" s="5" t="s">
        <v>362</v>
      </c>
      <c r="B42">
        <v>25</v>
      </c>
      <c r="I42" s="5" t="s">
        <v>341</v>
      </c>
      <c r="J42">
        <v>133</v>
      </c>
    </row>
    <row r="43" spans="1:10" x14ac:dyDescent="0.3">
      <c r="A43" s="5" t="s">
        <v>363</v>
      </c>
      <c r="B43">
        <v>21</v>
      </c>
    </row>
    <row r="44" spans="1:10" x14ac:dyDescent="0.3">
      <c r="A44" s="5" t="s">
        <v>364</v>
      </c>
      <c r="B44">
        <v>17</v>
      </c>
    </row>
    <row r="45" spans="1:10" x14ac:dyDescent="0.3">
      <c r="A45" s="5" t="s">
        <v>365</v>
      </c>
      <c r="B45">
        <v>19</v>
      </c>
    </row>
    <row r="46" spans="1:10" x14ac:dyDescent="0.3">
      <c r="A46" s="5" t="s">
        <v>341</v>
      </c>
      <c r="B46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3FFA1-4000-4B43-AE94-08F0BA1DFBB5}">
  <dimension ref="A1"/>
  <sheetViews>
    <sheetView zoomScaleNormal="100" workbookViewId="0">
      <selection activeCell="Y13" sqref="Y1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ADR_Data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Gowsika Kalingarajan</cp:lastModifiedBy>
  <dcterms:created xsi:type="dcterms:W3CDTF">2026-09-30T10:23:35Z</dcterms:created>
  <dcterms:modified xsi:type="dcterms:W3CDTF">2026-09-30T14:40:17Z</dcterms:modified>
</cp:coreProperties>
</file>